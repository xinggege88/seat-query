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wanghuixing\Desktop\操作\seatSelection\"/>
    </mc:Choice>
  </mc:AlternateContent>
  <bookViews>
    <workbookView windowWidth="29868" windowHeight="13380"/>
  </bookViews>
  <sheets>
    <sheet name="人员名单" sheetId="2" r:id="rId1"/>
    <sheet name="座位图 " sheetId="5"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<sst xmlns="http://schemas.openxmlformats.org/spreadsheetml/2006/main" count="747" uniqueCount="550">
  <si>
    <t>编号</t>
  </si>
  <si>
    <t>姓名</t>
  </si>
  <si>
    <t>单位</t>
  </si>
  <si>
    <t>职务</t>
  </si>
  <si>
    <t>座位号</t>
  </si>
  <si>
    <t>王祺扬</t>
  </si>
  <si>
    <t>海南省委常委、三亚市委书记</t>
  </si>
  <si>
    <t>孙  键</t>
  </si>
  <si>
    <t>中国科技部国际合作司</t>
  </si>
  <si>
    <t>副司长</t>
  </si>
  <si>
    <t>张永涛</t>
  </si>
  <si>
    <t>中国21世纪议程管理中心</t>
  </si>
  <si>
    <t>副主任</t>
  </si>
  <si>
    <t>FARID CHEMALE JUNlOR
法里德·谢马莱·朱尼尔</t>
  </si>
  <si>
    <t>巴西大洋钻探联盟</t>
  </si>
  <si>
    <t>主席/院士</t>
  </si>
  <si>
    <t>谢  京</t>
  </si>
  <si>
    <t>海南省人民政府</t>
  </si>
  <si>
    <t>副省长</t>
  </si>
  <si>
    <t>张来斌</t>
  </si>
  <si>
    <t>中国石油大学（北京）原校长</t>
  </si>
  <si>
    <t>院士</t>
  </si>
  <si>
    <r>
      <rPr>
        <sz val="11"/>
        <color rgb="FF000000"/>
        <rFont val="宋体"/>
        <charset val="134"/>
        <scheme val="minor"/>
      </rPr>
      <t>FRISTA YORHANITA</t>
    </r>
    <r>
      <rPr>
        <sz val="11"/>
        <color rgb="FF000000"/>
        <rFont val="宋体"/>
        <charset val="134"/>
        <scheme val="minor"/>
      </rPr>
      <t xml:space="preserve">
</t>
    </r>
    <r>
      <rPr>
        <sz val="11"/>
        <color rgb="FF000000"/>
        <rFont val="宋体"/>
        <charset val="134"/>
        <scheme val="minor"/>
      </rPr>
      <t>弗里斯塔·约尔哈尼塔</t>
    </r>
  </si>
  <si>
    <r>
      <rPr>
        <sz val="11"/>
        <color rgb="FF000000"/>
        <rFont val="微软雅黑"/>
        <charset val="134"/>
      </rPr>
      <t>印度尼西亚海洋资源与渔业部海洋空间管理总局海洋资源司</t>
    </r>
    <r>
      <rPr>
        <sz val="11"/>
        <color rgb="FF000000"/>
        <rFont val="微软雅黑"/>
        <charset val="134"/>
      </rPr>
      <t xml:space="preserve"> </t>
    </r>
  </si>
  <si>
    <t>司长</t>
  </si>
  <si>
    <t>翦知湣</t>
  </si>
  <si>
    <t>中国科学院</t>
  </si>
  <si>
    <t>谢玉洪</t>
  </si>
  <si>
    <t>中国海洋石油集团有限公司首席科学家、中国工程院院士</t>
  </si>
  <si>
    <r>
      <rPr>
        <sz val="11"/>
        <color rgb="FF000000"/>
        <rFont val="宋体"/>
        <charset val="134"/>
        <scheme val="minor"/>
      </rPr>
      <t>RONNIE N.GLUD</t>
    </r>
    <r>
      <rPr>
        <sz val="11"/>
        <color rgb="FF000000"/>
        <rFont val="宋体"/>
        <charset val="134"/>
        <scheme val="minor"/>
      </rPr>
      <t xml:space="preserve">
</t>
    </r>
    <r>
      <rPr>
        <sz val="11"/>
        <color rgb="FF000000"/>
        <rFont val="宋体"/>
        <charset val="134"/>
        <scheme val="minor"/>
      </rPr>
      <t>罗尼·格鲁德</t>
    </r>
  </si>
  <si>
    <t>丹麦皇家科学院</t>
  </si>
  <si>
    <r>
      <rPr>
        <sz val="11"/>
        <color rgb="FF000000"/>
        <rFont val="宋体"/>
        <charset val="134"/>
        <scheme val="minor"/>
      </rPr>
      <t>Shakhverdiev A.Kh.</t>
    </r>
    <r>
      <rPr>
        <sz val="11"/>
        <color rgb="FF000000"/>
        <rFont val="宋体"/>
        <charset val="134"/>
        <scheme val="minor"/>
      </rPr>
      <t xml:space="preserve">
</t>
    </r>
    <r>
      <rPr>
        <sz val="11"/>
        <color rgb="FF000000"/>
        <rFont val="宋体"/>
        <charset val="134"/>
        <scheme val="minor"/>
      </rPr>
      <t>沙赫维尔基耶夫 ∙阿泽孜∙ 汉诺维奇</t>
    </r>
  </si>
  <si>
    <t>俄罗斯国立大学</t>
  </si>
  <si>
    <r>
      <rPr>
        <sz val="11"/>
        <color rgb="FF000000"/>
        <rFont val="宋体"/>
        <charset val="134"/>
        <scheme val="minor"/>
      </rPr>
      <t>Kharchenko Yu.A.</t>
    </r>
    <r>
      <rPr>
        <sz val="11"/>
        <color rgb="FF000000"/>
        <rFont val="宋体"/>
        <charset val="134"/>
        <scheme val="minor"/>
      </rPr>
      <t xml:space="preserve">
</t>
    </r>
    <r>
      <rPr>
        <sz val="11"/>
        <color rgb="FF000000"/>
        <rFont val="宋体"/>
        <charset val="134"/>
        <scheme val="minor"/>
      </rPr>
      <t>哈尔琴科 ∙ 尤里 ∙ 阿列克谢耶维奇</t>
    </r>
  </si>
  <si>
    <t>彭晓彤</t>
  </si>
  <si>
    <t>中国科学院深海科学与工程研究所</t>
  </si>
  <si>
    <t>副所长、党委书记</t>
  </si>
  <si>
    <t>Marian Wiercigroch</t>
  </si>
  <si>
    <r>
      <rPr>
        <sz val="11"/>
        <color rgb="FF000000"/>
        <rFont val="微软雅黑"/>
        <charset val="134"/>
      </rPr>
      <t>英国皇家工程院</t>
    </r>
  </si>
  <si>
    <r>
      <rPr>
        <sz val="11"/>
        <color rgb="FF000000"/>
        <rFont val="微软雅黑"/>
        <charset val="134"/>
      </rPr>
      <t>院士</t>
    </r>
  </si>
  <si>
    <t>AVORNIC/GHEORGHE 阿沃尼奇/吉奥格</t>
  </si>
  <si>
    <t>欧洲政治经济大学</t>
  </si>
  <si>
    <t>校长</t>
  </si>
  <si>
    <t>Savelieva·Iryna
萨韦利耶娃·伊琳娜</t>
  </si>
  <si>
    <t>敖德萨国立海洋大学</t>
  </si>
  <si>
    <t>敖德萨国立海事大学负责研究和国际合作的副校长</t>
  </si>
  <si>
    <t>Sutenti</t>
  </si>
  <si>
    <t>印度尼西亚海洋资源与渔业部海洋空间管理总局海洋资源司沉船货物管理处</t>
  </si>
  <si>
    <t>负责人</t>
  </si>
  <si>
    <t>Ariel Fuchs
阿列尔·富克斯</t>
  </si>
  <si>
    <t>SeaOrbiter国际海洋空间站</t>
  </si>
  <si>
    <t>科学和国际合作伙伴办公室主任</t>
  </si>
  <si>
    <t>李培峰</t>
  </si>
  <si>
    <t>马来西亚郑和文化博物馆</t>
  </si>
  <si>
    <t>执行馆长</t>
  </si>
  <si>
    <t>NADTOCHYI/ANATOLII 
纳多奇/安纳托利亚</t>
  </si>
  <si>
    <t>乌克兰国立造船大学</t>
  </si>
  <si>
    <t>自动与电气化学院主任、副教授</t>
  </si>
  <si>
    <t>VLADIMIR GOLOVKO</t>
  </si>
  <si>
    <t>布列斯特大学</t>
  </si>
  <si>
    <t>计算机系主任</t>
  </si>
  <si>
    <t>LANGA/ADRIAN 
朗加 艾德里安</t>
  </si>
  <si>
    <t>摩尔多瓦自由国际大学</t>
  </si>
  <si>
    <t>法医实验室主任</t>
  </si>
  <si>
    <t>ILIEVA/GALINA ILIEVA伊利耶娃/加林娜 伊利耶娃</t>
  </si>
  <si>
    <t>瓦尔纳技术大学（TUV)</t>
  </si>
  <si>
    <t>研究所所长</t>
  </si>
  <si>
    <r>
      <rPr>
        <sz val="11"/>
        <color theme="1"/>
        <rFont val="Times New Roman"/>
        <charset val="134"/>
      </rPr>
      <t xml:space="preserve">KALINICHENKO YEVGENIY
</t>
    </r>
    <r>
      <rPr>
        <sz val="11"/>
        <color theme="1"/>
        <rFont val="微软雅黑"/>
        <charset val="134"/>
      </rPr>
      <t>叶夫根尼</t>
    </r>
    <r>
      <rPr>
        <sz val="11"/>
        <color theme="1"/>
        <rFont val="Times New Roman"/>
        <charset val="134"/>
      </rPr>
      <t>·</t>
    </r>
    <r>
      <rPr>
        <sz val="11"/>
        <color theme="1"/>
        <rFont val="微软雅黑"/>
        <charset val="134"/>
      </rPr>
      <t>卡利尼琴科</t>
    </r>
  </si>
  <si>
    <r>
      <rPr>
        <sz val="11"/>
        <color rgb="FF000000"/>
        <rFont val="微软雅黑"/>
        <charset val="134"/>
      </rPr>
      <t>导航和操纵系主任，教授</t>
    </r>
  </si>
  <si>
    <t>VARBANETS/ROMAN
 瓦尔巴涅茨 罗马</t>
  </si>
  <si>
    <t>教授</t>
  </si>
  <si>
    <t>Zaytsev Valeriy
扎伊采夫 瓦列里</t>
  </si>
  <si>
    <t>Zaytsev Dmitriy
扎伊采夫 德米特里</t>
  </si>
  <si>
    <t>Volodymyr Golikov
弗拉基米尔 格里科夫</t>
  </si>
  <si>
    <t>Korban Dmytro
科尔班 德米特里</t>
  </si>
  <si>
    <t>Golovan Andrii
霍洛万·安德烈</t>
  </si>
  <si>
    <t>敖德萨国立海事大学（乌克兰）工学博士，副教授
船舶航行与控制教研室教授</t>
  </si>
  <si>
    <t>NENOV/HRISTO BOZHIDAROV
 涅诺夫/克里斯托弗 
博日达罗夫</t>
  </si>
  <si>
    <t>GRIGO/MANFRED ERWIN OTTO
格里戈/曼弗雷德*欧文*奥托</t>
  </si>
  <si>
    <t>罗斯托克大学</t>
  </si>
  <si>
    <r>
      <rPr>
        <sz val="11"/>
        <color theme="1"/>
        <rFont val="Times New Roman"/>
        <charset val="134"/>
      </rPr>
      <t xml:space="preserve">MUKHA MYKOLA
</t>
    </r>
    <r>
      <rPr>
        <sz val="11"/>
        <color theme="1"/>
        <rFont val="微软雅黑"/>
        <charset val="134"/>
      </rPr>
      <t>穆哈</t>
    </r>
    <r>
      <rPr>
        <sz val="11"/>
        <color theme="1"/>
        <rFont val="Times New Roman"/>
        <charset val="134"/>
      </rPr>
      <t>·</t>
    </r>
    <r>
      <rPr>
        <sz val="11"/>
        <color theme="1"/>
        <rFont val="微软雅黑"/>
        <charset val="134"/>
      </rPr>
      <t>尼古拉</t>
    </r>
  </si>
  <si>
    <r>
      <rPr>
        <sz val="11"/>
        <color rgb="FF000000"/>
        <rFont val="微软雅黑"/>
        <charset val="134"/>
      </rPr>
      <t>乌克兰国立大学</t>
    </r>
  </si>
  <si>
    <r>
      <rPr>
        <sz val="11"/>
        <color rgb="FF000000"/>
        <rFont val="微软雅黑"/>
        <charset val="134"/>
      </rPr>
      <t>教授</t>
    </r>
  </si>
  <si>
    <t>Yushin Evgeny Sergeevich</t>
  </si>
  <si>
    <t>俄罗斯友谊大学</t>
  </si>
  <si>
    <t>AVORNIC/ALEXANDRU 
阿沃尼奇/亚历山德鲁</t>
  </si>
  <si>
    <t>无</t>
  </si>
  <si>
    <t>AVORNIC/LORINA 
阿沃尼奇/洛丽娜</t>
  </si>
  <si>
    <t>ULRICH/UWE MAX REINHOLD 
乌尔里希/乌韦 马克斯*莱因霍尔德</t>
  </si>
  <si>
    <t>GTC能源解决方案有限公司</t>
  </si>
  <si>
    <t>技术总监</t>
  </si>
  <si>
    <t>Melina Andreu</t>
  </si>
  <si>
    <t>副教授</t>
  </si>
  <si>
    <t>胡志强</t>
  </si>
  <si>
    <t>英国纽卡斯尔大学</t>
  </si>
  <si>
    <t>系主任</t>
  </si>
  <si>
    <t>Edward Charles McNairn</t>
  </si>
  <si>
    <t xml:space="preserve">Sound and Vision Production </t>
  </si>
  <si>
    <r>
      <rPr>
        <sz val="11"/>
        <color rgb="FF000000"/>
        <rFont val="微软雅黑"/>
        <charset val="134"/>
      </rPr>
      <t>研究员</t>
    </r>
  </si>
  <si>
    <r>
      <rPr>
        <sz val="11"/>
        <color rgb="FF000000"/>
        <rFont val="Times New Roman"/>
        <charset val="134"/>
      </rPr>
      <t>Maximilian Keller /</t>
    </r>
    <r>
      <rPr>
        <sz val="11"/>
        <color rgb="FF000000"/>
        <rFont val="微软雅黑"/>
        <charset val="134"/>
      </rPr>
      <t>柯颜勋</t>
    </r>
  </si>
  <si>
    <t>NovAsia Group</t>
  </si>
  <si>
    <t>UITDENHOUWEN HANS</t>
  </si>
  <si>
    <t>REALITY</t>
  </si>
  <si>
    <t>Charlotte Magnette</t>
  </si>
  <si>
    <t>Sanya Yazhou Bay Science and Technology City Administration Bureau</t>
  </si>
  <si>
    <t>David Fernandez Blanco</t>
  </si>
  <si>
    <t>IDSSE</t>
  </si>
  <si>
    <r>
      <rPr>
        <sz val="11"/>
        <color rgb="FF000000"/>
        <rFont val="微软雅黑"/>
        <charset val="134"/>
      </rPr>
      <t>柳小正</t>
    </r>
  </si>
  <si>
    <r>
      <rPr>
        <sz val="11"/>
        <color rgb="FF000000"/>
        <rFont val="微软雅黑"/>
        <charset val="134"/>
      </rPr>
      <t>日本岛根公立大学</t>
    </r>
  </si>
  <si>
    <t>Muhammad Amjad Farooq</t>
  </si>
  <si>
    <t xml:space="preserve">Chinese Academy of Agricultural Sciences </t>
  </si>
  <si>
    <t>Saleem</t>
  </si>
  <si>
    <t>OUC</t>
  </si>
  <si>
    <t>ILTAF HAMZA</t>
  </si>
  <si>
    <t xml:space="preserve">Hainan University </t>
  </si>
  <si>
    <t>Mahideen Afridi</t>
  </si>
  <si>
    <t>CAAS</t>
  </si>
  <si>
    <t>Muhammad Umer</t>
  </si>
  <si>
    <t xml:space="preserve">Hainan university </t>
  </si>
  <si>
    <t>Wajid Saeed</t>
  </si>
  <si>
    <t>Hainan University</t>
  </si>
  <si>
    <t>Ali Abbas</t>
  </si>
  <si>
    <t>Caas</t>
  </si>
  <si>
    <t>Ihtesham Arshad</t>
  </si>
  <si>
    <t>印尼</t>
  </si>
  <si>
    <t>三亚华大生命科学研究院</t>
  </si>
  <si>
    <t>Wisal Ahmad</t>
  </si>
  <si>
    <t>Geneuza Muniz</t>
  </si>
  <si>
    <t xml:space="preserve">China agricultural university </t>
  </si>
  <si>
    <t>Phili Mbongwana</t>
  </si>
  <si>
    <t xml:space="preserve">Bright Minds English and Drama Club </t>
  </si>
  <si>
    <t>Shahir  Liew</t>
  </si>
  <si>
    <r>
      <rPr>
        <sz val="11"/>
        <color rgb="FF000000"/>
        <rFont val="微软雅黑"/>
        <charset val="134"/>
      </rPr>
      <t>马来西亚诺丁汉大学</t>
    </r>
  </si>
  <si>
    <r>
      <rPr>
        <sz val="11"/>
        <color rgb="FF000000"/>
        <rFont val="微软雅黑"/>
        <charset val="134"/>
      </rPr>
      <t>外专陪同</t>
    </r>
  </si>
  <si>
    <t>Hana Victory Ryan Surya</t>
  </si>
  <si>
    <t>Sanya Institute of China Agricultural University</t>
  </si>
  <si>
    <r>
      <rPr>
        <sz val="11"/>
        <color rgb="FF000000"/>
        <rFont val="微软雅黑"/>
        <charset val="134"/>
      </rPr>
      <t>叶福龙</t>
    </r>
    <r>
      <rPr>
        <sz val="11"/>
        <color rgb="FF000000"/>
        <rFont val="Times New Roman"/>
        <charset val="134"/>
      </rPr>
      <t>IVAN EFENDI</t>
    </r>
  </si>
  <si>
    <r>
      <rPr>
        <sz val="11"/>
        <color rgb="FF000000"/>
        <rFont val="微软雅黑"/>
        <charset val="134"/>
      </rPr>
      <t>中国石油大学（北京）</t>
    </r>
  </si>
  <si>
    <t>wedemariam sofonias</t>
  </si>
  <si>
    <t>Phatchamon</t>
  </si>
  <si>
    <t>CAU</t>
  </si>
  <si>
    <t>Omar Awad</t>
  </si>
  <si>
    <t>Iraqi</t>
  </si>
  <si>
    <t>陈杰</t>
  </si>
  <si>
    <t>海南省科技厅</t>
  </si>
  <si>
    <t>党组书记、厅长</t>
  </si>
  <si>
    <t>谈戈</t>
  </si>
  <si>
    <t>党组成员、副厅长</t>
  </si>
  <si>
    <t>刘敏</t>
  </si>
  <si>
    <t>科技部原重大专项司</t>
  </si>
  <si>
    <t>刘书杰</t>
  </si>
  <si>
    <t>中海石油(中国)有限公司海南分公司</t>
  </si>
  <si>
    <t xml:space="preserve">首席科学家 </t>
  </si>
  <si>
    <t>王文涛</t>
  </si>
  <si>
    <t>处长</t>
  </si>
  <si>
    <t>黄鑫</t>
  </si>
  <si>
    <t>东北石油大学</t>
  </si>
  <si>
    <t>副校长</t>
  </si>
  <si>
    <t>牛青山</t>
  </si>
  <si>
    <t>山西省科学技术厅、
山西省科学技术协会</t>
  </si>
  <si>
    <t>一级巡视员、副主席</t>
  </si>
  <si>
    <t>唐旭</t>
  </si>
  <si>
    <t>热带海洋学院</t>
  </si>
  <si>
    <t>蒙巍</t>
  </si>
  <si>
    <t>肖坤</t>
  </si>
  <si>
    <t>中国石油大学（北京）安全与海洋石油工程学院</t>
  </si>
  <si>
    <t>书记</t>
  </si>
  <si>
    <t>王云飞</t>
  </si>
  <si>
    <t>海南省外事办公室</t>
  </si>
  <si>
    <t>孙清</t>
  </si>
  <si>
    <t xml:space="preserve">海南省深海技术创新中心  </t>
  </si>
  <si>
    <t>主任</t>
  </si>
  <si>
    <t>樊木</t>
  </si>
  <si>
    <t>三亚市政府</t>
  </si>
  <si>
    <t>三亚市政府党组成员、副市长，三亚崖州湾科技城管理局党委书记、局长</t>
  </si>
  <si>
    <t>孙东征</t>
  </si>
  <si>
    <t>中海石油(中国)有限公司湛江分公司</t>
  </si>
  <si>
    <t>副总经理</t>
  </si>
  <si>
    <t>李海明</t>
  </si>
  <si>
    <t>福建省科学技术厅对外合作处</t>
  </si>
  <si>
    <t>李力</t>
  </si>
  <si>
    <t>吴明华</t>
  </si>
  <si>
    <t>湖南省科学技术厅科技合作处</t>
  </si>
  <si>
    <t>一级调研员</t>
  </si>
  <si>
    <t>马会珍</t>
  </si>
  <si>
    <t>山东祺龙海洋石油钢管股份有限公司</t>
  </si>
  <si>
    <t xml:space="preserve"> 副总经理</t>
  </si>
  <si>
    <t>殷敬伟</t>
  </si>
  <si>
    <t>哈尔滨工程大学</t>
  </si>
  <si>
    <t>杜明</t>
  </si>
  <si>
    <t>大连海洋大学</t>
  </si>
  <si>
    <t>校长、教授</t>
  </si>
  <si>
    <t>刘植昌</t>
  </si>
  <si>
    <t>中国石油大学(北京)</t>
  </si>
  <si>
    <t>陈骏</t>
  </si>
  <si>
    <t>海南大学</t>
  </si>
  <si>
    <t>吴智深</t>
  </si>
  <si>
    <t>东南大学</t>
  </si>
  <si>
    <t>教授/外籍院士、杰青</t>
  </si>
  <si>
    <t>林厚文</t>
  </si>
  <si>
    <t>上海交通大学医学院临床药学院</t>
  </si>
  <si>
    <t>院长、教授</t>
  </si>
  <si>
    <t>王志远</t>
  </si>
  <si>
    <t>中国石油大学</t>
  </si>
  <si>
    <t>石油工程学院党委书记</t>
  </si>
  <si>
    <t>杨进</t>
  </si>
  <si>
    <t>中国石油大学（北京）</t>
  </si>
  <si>
    <t>安全与海洋工程学院院长</t>
  </si>
  <si>
    <t>马英文</t>
  </si>
  <si>
    <t>中海油研究总院钻采研究院</t>
  </si>
  <si>
    <t>院长</t>
  </si>
  <si>
    <t>宋建忠</t>
  </si>
  <si>
    <t>海南省文物考古研究院</t>
  </si>
  <si>
    <t>贺讯</t>
  </si>
  <si>
    <t>海南省海洋厅海洋经济发展处</t>
  </si>
  <si>
    <t>袁贞伟</t>
  </si>
  <si>
    <t>辽宁省科学技术厅</t>
  </si>
  <si>
    <t>副处长</t>
  </si>
  <si>
    <t>王宁</t>
  </si>
  <si>
    <t>黑龙江省科学技术厅</t>
  </si>
  <si>
    <t>乔钢</t>
  </si>
  <si>
    <t>水声工程学院院长</t>
  </si>
  <si>
    <t>李志超</t>
  </si>
  <si>
    <t>南海研究院党委书记</t>
  </si>
  <si>
    <t>姚会强</t>
  </si>
  <si>
    <t>广州海洋地质调查局</t>
  </si>
  <si>
    <t>海洋应用地质研究所所长/正高级工程师</t>
  </si>
  <si>
    <t>闫菊</t>
  </si>
  <si>
    <t>中国海洋大学三亚海洋研究院</t>
  </si>
  <si>
    <t>党委书记，院长</t>
  </si>
  <si>
    <t>何鑫</t>
  </si>
  <si>
    <t>执行院长</t>
  </si>
  <si>
    <t>岳震</t>
  </si>
  <si>
    <t xml:space="preserve"> 汤华 </t>
  </si>
  <si>
    <t>海南欧特海洋科技有限公司</t>
  </si>
  <si>
    <t>总经理</t>
  </si>
  <si>
    <t>卫天蛟</t>
  </si>
  <si>
    <t>海南深蓝智汇经营管理有限公司董事长、哈尔滨工程大学南海研究院副院长</t>
  </si>
  <si>
    <t>董事长/副院长</t>
  </si>
  <si>
    <t>熊明磊</t>
  </si>
  <si>
    <t>三亚工道机械科技有限公司</t>
  </si>
  <si>
    <t xml:space="preserve">董事长 </t>
  </si>
  <si>
    <t>汤涛</t>
  </si>
  <si>
    <t>昊辰资本</t>
  </si>
  <si>
    <t>创始合伙人</t>
  </si>
  <si>
    <t>李晔</t>
  </si>
  <si>
    <t>智能海洋航行器技术全国重点实验室主任 
哈尔滨工程大学船舶工程学院</t>
  </si>
  <si>
    <t xml:space="preserve">书记 </t>
  </si>
  <si>
    <t>姜宏</t>
  </si>
  <si>
    <t>热带海洋工程材料及评价全国重点实验室</t>
  </si>
  <si>
    <t>北京世航智能科技有限公司</t>
  </si>
  <si>
    <t>周智</t>
  </si>
  <si>
    <t>江景涛</t>
  </si>
  <si>
    <t>青岛澎湃海洋探索技术公司</t>
  </si>
  <si>
    <t xml:space="preserve">常务副总经理 </t>
  </si>
  <si>
    <t>董兴辉</t>
  </si>
  <si>
    <t>中国海洋大学</t>
  </si>
  <si>
    <t>人工智能学院副院长</t>
  </si>
  <si>
    <t>王琳舒</t>
  </si>
  <si>
    <t>中国海洋大学中法海洋合作中心</t>
  </si>
  <si>
    <t>莫世奇</t>
  </si>
  <si>
    <t xml:space="preserve">哈尔滨工程大学水声学院、水声技术全国重点实验室 </t>
  </si>
  <si>
    <t>副院长、副主任</t>
  </si>
  <si>
    <t>陈传绪</t>
  </si>
  <si>
    <t>科学研究部副主任/研究员</t>
  </si>
  <si>
    <t>王辉山</t>
  </si>
  <si>
    <t>海南省博物馆</t>
  </si>
  <si>
    <t>副馆长</t>
  </si>
  <si>
    <t>丁见祥</t>
  </si>
  <si>
    <t>上海大学海洋考古学研究中心</t>
  </si>
  <si>
    <t>主任/教授</t>
  </si>
  <si>
    <t>刘海洋</t>
  </si>
  <si>
    <t>海南大学国际旅游与公共管理学院</t>
  </si>
  <si>
    <t>副院长/教授</t>
  </si>
  <si>
    <t>韩道</t>
  </si>
  <si>
    <t>海南大学-科学技术发展研究院</t>
  </si>
  <si>
    <t>副院长</t>
  </si>
  <si>
    <t>王寅</t>
  </si>
  <si>
    <t>罗辉</t>
  </si>
  <si>
    <t>广东医科大学</t>
  </si>
  <si>
    <t>原党委副书记、教授</t>
  </si>
  <si>
    <t>孙冬柏</t>
  </si>
  <si>
    <t>中山大学</t>
  </si>
  <si>
    <t>教授/教育部跨世纪优秀人才</t>
  </si>
  <si>
    <t>黄芳飞</t>
  </si>
  <si>
    <t>工程师</t>
  </si>
  <si>
    <t>李志勇</t>
  </si>
  <si>
    <t>上海交通大学</t>
  </si>
  <si>
    <t>徐良</t>
  </si>
  <si>
    <t>中国地质大学（北京）</t>
  </si>
  <si>
    <t>李冰</t>
  </si>
  <si>
    <t>宁伏龙</t>
  </si>
  <si>
    <t>中国地质大学（武汉）</t>
  </si>
  <si>
    <t>余涛</t>
  </si>
  <si>
    <t>香港理工大学</t>
  </si>
  <si>
    <t>闫雪峰</t>
  </si>
  <si>
    <t>邓路</t>
  </si>
  <si>
    <t>中科院上海光机所</t>
  </si>
  <si>
    <t>傅超</t>
  </si>
  <si>
    <t>何淼</t>
  </si>
  <si>
    <t>长江大学</t>
  </si>
  <si>
    <t>洪炳沅</t>
  </si>
  <si>
    <t>浙江海洋大学</t>
  </si>
  <si>
    <t>系主任/副教授</t>
  </si>
  <si>
    <t>李沼萱</t>
  </si>
  <si>
    <t>辽宁石油化工大学</t>
  </si>
  <si>
    <t>马永奇</t>
  </si>
  <si>
    <t>吴旭东</t>
  </si>
  <si>
    <t>中海油集团公司</t>
  </si>
  <si>
    <t>管理处处长</t>
  </si>
  <si>
    <t>葛俊瑞</t>
  </si>
  <si>
    <t>中海油上海分公司</t>
  </si>
  <si>
    <t>工程技术中心主任</t>
  </si>
  <si>
    <t>邓成辉</t>
  </si>
  <si>
    <t>中海油深圳分有限公司</t>
  </si>
  <si>
    <t>项目经理</t>
  </si>
  <si>
    <t>赵学战</t>
  </si>
  <si>
    <t>中海油湛江分公司</t>
  </si>
  <si>
    <t>史海涛</t>
  </si>
  <si>
    <t>美国贝克休斯公司</t>
  </si>
  <si>
    <t>万春燕</t>
  </si>
  <si>
    <t>中石油宝鸡石油机械有限责任公司</t>
  </si>
  <si>
    <t>资深工程师</t>
  </si>
  <si>
    <t>李巍</t>
  </si>
  <si>
    <t>海洋石油工程股份有限公司特种设备公司</t>
  </si>
  <si>
    <t>总工程师</t>
  </si>
  <si>
    <t>宋丽</t>
  </si>
  <si>
    <t>北京格林京丰防火玻璃有限公司</t>
  </si>
  <si>
    <t>高级工程师</t>
  </si>
  <si>
    <t>王永华</t>
  </si>
  <si>
    <t>华南理工大学</t>
  </si>
  <si>
    <t>常务副院长</t>
  </si>
  <si>
    <t>魏斌</t>
  </si>
  <si>
    <t>浙江工业大学</t>
  </si>
  <si>
    <t>副研究员</t>
  </si>
  <si>
    <r>
      <rPr>
        <sz val="11"/>
        <color rgb="FF000000"/>
        <rFont val="宋体"/>
        <charset val="134"/>
      </rPr>
      <t>贾晓晨</t>
    </r>
    <r>
      <rPr>
        <sz val="11"/>
        <color rgb="FF000000"/>
        <rFont val="Calibri"/>
        <charset val="134"/>
      </rPr>
      <t xml:space="preserve">  </t>
    </r>
  </si>
  <si>
    <t>中国科学院大连化学物理研究所</t>
  </si>
  <si>
    <t>赵岚</t>
  </si>
  <si>
    <t>中国科学院过程工程研究所</t>
  </si>
  <si>
    <t>何佳</t>
  </si>
  <si>
    <t>重庆医科大学</t>
  </si>
  <si>
    <t>肖亚中</t>
  </si>
  <si>
    <t>安徽大学</t>
  </si>
  <si>
    <t>王晨吟</t>
  </si>
  <si>
    <t>中国医学科学院医药生物技术研究所</t>
  </si>
  <si>
    <t>助理研究员</t>
  </si>
  <si>
    <t>王飞</t>
  </si>
  <si>
    <t>海南天祜应用技术有限公司</t>
  </si>
  <si>
    <t>董事长</t>
  </si>
  <si>
    <t>匡冬山</t>
  </si>
  <si>
    <t>海南好又多渔业发展有限公司</t>
  </si>
  <si>
    <t>法定代表人</t>
  </si>
  <si>
    <t>王佳</t>
  </si>
  <si>
    <t>郭建明</t>
  </si>
  <si>
    <t>三沙美济渔业有限公司</t>
  </si>
  <si>
    <t>副总</t>
  </si>
  <si>
    <t>李芳芳</t>
  </si>
  <si>
    <t>王方华</t>
  </si>
  <si>
    <t>教师</t>
  </si>
  <si>
    <t>王光耀</t>
  </si>
  <si>
    <t>大连海事大学</t>
  </si>
  <si>
    <t>专任教师</t>
  </si>
  <si>
    <t>程博</t>
  </si>
  <si>
    <t>三亚云港数字全景科技有限公司</t>
  </si>
  <si>
    <t>技术主管</t>
  </si>
  <si>
    <t>杨梅</t>
  </si>
  <si>
    <t>深蓝家园海洋科技（海南）有限公司</t>
  </si>
  <si>
    <t>综合管理部部长</t>
  </si>
  <si>
    <t>刘佩</t>
  </si>
  <si>
    <t>湖南湘投金天钛金属股份有限公司</t>
  </si>
  <si>
    <t>部长</t>
  </si>
  <si>
    <t>焦方成</t>
  </si>
  <si>
    <t>海南卫星海洋应用研究院有限公司</t>
  </si>
  <si>
    <t>执行代表</t>
  </si>
  <si>
    <t>蓝东明</t>
  </si>
  <si>
    <t>South China University of Technology</t>
  </si>
  <si>
    <t>左蒋思之</t>
  </si>
  <si>
    <t>南方海洋科学与工程广东省实验室（珠海）</t>
  </si>
  <si>
    <t>汪志能</t>
  </si>
  <si>
    <t>湖南科技大学</t>
  </si>
  <si>
    <t>刘廷</t>
  </si>
  <si>
    <t>任年鑫</t>
  </si>
  <si>
    <t>海南大学海洋技术与装备学院</t>
  </si>
  <si>
    <t>邹飞</t>
  </si>
  <si>
    <t>海南师范大学历史文化学院</t>
  </si>
  <si>
    <t>副院长/副教授</t>
  </si>
  <si>
    <t>尹希杰</t>
  </si>
  <si>
    <t>自然资源部第三海洋研究所</t>
  </si>
  <si>
    <t>研究员</t>
  </si>
  <si>
    <t>张飞</t>
  </si>
  <si>
    <t>中国科学院声学研究所</t>
  </si>
  <si>
    <t>正高级工程师</t>
  </si>
  <si>
    <t>刘松堂</t>
  </si>
  <si>
    <t>国家海洋技术中心</t>
  </si>
  <si>
    <t>韦革</t>
  </si>
  <si>
    <t>广西文物保护与考古研究所</t>
  </si>
  <si>
    <t>副所长</t>
  </si>
  <si>
    <t>赵凯歌</t>
  </si>
  <si>
    <t>项目主管</t>
  </si>
  <si>
    <t>罗申</t>
  </si>
  <si>
    <t>湖南省科技厅科技安全与信息处</t>
  </si>
  <si>
    <t>一级主任科员</t>
  </si>
  <si>
    <t>康贵柱</t>
  </si>
  <si>
    <t>山西省创新创业服务中心</t>
  </si>
  <si>
    <t>科长</t>
  </si>
  <si>
    <t>刘万才</t>
  </si>
  <si>
    <t>科员</t>
  </si>
  <si>
    <t>刘良斌</t>
  </si>
  <si>
    <t>广东省科学技术厅</t>
  </si>
  <si>
    <t>干部</t>
  </si>
  <si>
    <t>张超</t>
  </si>
  <si>
    <t>海南省教育厅高等教育处</t>
  </si>
  <si>
    <t>赖增福</t>
  </si>
  <si>
    <t>海南省旅游和文化广电体育厅</t>
  </si>
  <si>
    <t>二级调研员</t>
  </si>
  <si>
    <t>陈诚</t>
  </si>
  <si>
    <t>四级调研员</t>
  </si>
  <si>
    <t>孟荣</t>
  </si>
  <si>
    <t>海南省海洋厅</t>
  </si>
  <si>
    <t>二级主任科员</t>
  </si>
  <si>
    <t>任文高</t>
  </si>
  <si>
    <t>海口市科工信局</t>
  </si>
  <si>
    <t>三级调研员</t>
  </si>
  <si>
    <t>邓意达</t>
  </si>
  <si>
    <t>儋州市科学技术和工业信息化局</t>
  </si>
  <si>
    <t>副局长</t>
  </si>
  <si>
    <t>冯学标</t>
  </si>
  <si>
    <t>文昌市科学技术和工业信息化局</t>
  </si>
  <si>
    <t>张露</t>
  </si>
  <si>
    <t>陵水县科工信局</t>
  </si>
  <si>
    <t>林够够</t>
  </si>
  <si>
    <t>琼海市科学技术和工业信息化局</t>
  </si>
  <si>
    <t>工作人员</t>
  </si>
  <si>
    <t>吴坤苗</t>
  </si>
  <si>
    <t>三亚崖州湾科技城控股集团有限公司</t>
  </si>
  <si>
    <t>金涛</t>
  </si>
  <si>
    <t>宁波市文化遗产管理研究院</t>
  </si>
  <si>
    <t>水下遗产中心（科技保护中心）主任</t>
  </si>
  <si>
    <t>刘淼</t>
  </si>
  <si>
    <t>厦门大学历史与文化遗产学院</t>
  </si>
  <si>
    <t>教研室主任</t>
  </si>
  <si>
    <t>余凤玲</t>
  </si>
  <si>
    <t>厦门大学厦门大学海洋与地球学院</t>
  </si>
  <si>
    <t>史宏达</t>
  </si>
  <si>
    <t>全向前</t>
  </si>
  <si>
    <t>牛荻涛</t>
  </si>
  <si>
    <t>西安建筑科技大学</t>
  </si>
  <si>
    <t>教授、杰青</t>
  </si>
  <si>
    <t>徐明奇</t>
  </si>
  <si>
    <t>海南热带海洋学院海洋科学技术学院</t>
  </si>
  <si>
    <t>刘丽娜</t>
  </si>
  <si>
    <t>西安交通大学法学院</t>
  </si>
  <si>
    <t>谢西营</t>
  </si>
  <si>
    <t>浙江省文物考古研究所</t>
  </si>
  <si>
    <t>汉唐宋元考古室（海洋考古中心、瓷窑址考古中心）主任、研究馆员</t>
  </si>
  <si>
    <t>赵荦</t>
  </si>
  <si>
    <t>上海市文物保护研究中心</t>
  </si>
  <si>
    <t>研究馆员</t>
  </si>
  <si>
    <t>黎瀚博</t>
  </si>
  <si>
    <t>青岛华大基因研究院</t>
  </si>
  <si>
    <t>陈柔汐</t>
  </si>
  <si>
    <t>李东风</t>
  </si>
  <si>
    <t>文物信息中心负责人</t>
  </si>
  <si>
    <t>寿佳琦</t>
  </si>
  <si>
    <t>南海考古研究所负责人</t>
  </si>
  <si>
    <t>索安宁</t>
  </si>
  <si>
    <t>中国科学院南海海洋研究所</t>
  </si>
  <si>
    <t>骆祝华</t>
  </si>
  <si>
    <t>黄开耀</t>
  </si>
  <si>
    <t>中国科学院水生生物研究所</t>
  </si>
  <si>
    <t>陈浩</t>
  </si>
  <si>
    <t>中国科学院海洋研究所</t>
  </si>
  <si>
    <t>许路</t>
  </si>
  <si>
    <t>外聘专家</t>
  </si>
  <si>
    <t>吴国俊</t>
  </si>
  <si>
    <t>中国科学院西安光机所</t>
  </si>
  <si>
    <t>张小波</t>
  </si>
  <si>
    <t>南方海洋科学与工程广东省实验室 (珠海)</t>
  </si>
  <si>
    <t>韩默</t>
  </si>
  <si>
    <t>实验研发高级工程师</t>
  </si>
  <si>
    <t>曹景超</t>
  </si>
  <si>
    <t>讲师</t>
  </si>
  <si>
    <t>卜汉文</t>
  </si>
  <si>
    <t>馆员</t>
  </si>
  <si>
    <t>熊爱武</t>
  </si>
  <si>
    <t>广州欧科信息技术股份有限公司</t>
  </si>
  <si>
    <t>张文金</t>
  </si>
  <si>
    <t>文物保护与考古中心总监/高级工程师</t>
  </si>
  <si>
    <t>陈崇瑜</t>
  </si>
  <si>
    <t>磐索海洋科技（三亚）有限公司</t>
  </si>
  <si>
    <t>宋玉群</t>
  </si>
  <si>
    <t>林金虎</t>
  </si>
  <si>
    <t>海鹰企业集团有限责任公司</t>
  </si>
  <si>
    <t>臧曙光</t>
  </si>
  <si>
    <t>江苏铁锚科技股份有限公司</t>
  </si>
  <si>
    <t>总工程师/教授级高级工程师</t>
  </si>
  <si>
    <t>易昌华</t>
  </si>
  <si>
    <t>陈泽海</t>
  </si>
  <si>
    <t>张晓伟</t>
  </si>
  <si>
    <t>博士</t>
  </si>
  <si>
    <t>韩 默</t>
  </si>
  <si>
    <t>场地座位分布图</t>
  </si>
  <si>
    <t>●红色区域为沙发区</t>
  </si>
  <si>
    <t>数量：4+7+4=15</t>
  </si>
  <si>
    <t>舞台</t>
  </si>
  <si>
    <t>●左侧可容纳117人</t>
  </si>
  <si>
    <t>●中间可容纳214人</t>
  </si>
  <si>
    <t xml:space="preserve"> </t>
  </si>
  <si>
    <t>●右侧可容纳117人</t>
  </si>
  <si>
    <t>合计：448人</t>
  </si>
  <si>
    <t>沙发区</t>
  </si>
  <si>
    <t>第1排</t>
  </si>
  <si>
    <t>第2排</t>
  </si>
  <si>
    <t>第3排</t>
  </si>
  <si>
    <t>第4排</t>
  </si>
  <si>
    <t>付</t>
  </si>
  <si>
    <t>费</t>
  </si>
  <si>
    <t>第5排</t>
  </si>
  <si>
    <t>第6排</t>
  </si>
  <si>
    <t>=AE14$B:$B)</t>
  </si>
  <si>
    <t>第7排</t>
  </si>
  <si>
    <t>第8排</t>
  </si>
  <si>
    <t>第9排</t>
  </si>
  <si>
    <t>分论坛七</t>
  </si>
  <si>
    <t>第10排</t>
  </si>
  <si>
    <t>展</t>
  </si>
  <si>
    <t>商</t>
  </si>
  <si>
    <t>第11排</t>
  </si>
  <si>
    <t>海</t>
  </si>
  <si>
    <t>洋</t>
  </si>
  <si>
    <t>大</t>
  </si>
  <si>
    <t>赛</t>
  </si>
  <si>
    <t>第12排</t>
  </si>
  <si>
    <t>媒体</t>
  </si>
  <si>
    <t>其</t>
  </si>
  <si>
    <t>他</t>
  </si>
  <si>
    <t>入口</t>
  </si>
  <si>
    <t>二楼</t>
  </si>
  <si>
    <t>19人</t>
  </si>
  <si>
    <t>24人</t>
  </si>
  <si>
    <t>20人</t>
  </si>
  <si>
    <t>30人</t>
  </si>
  <si>
    <t>18人</t>
  </si>
  <si>
    <t>15人</t>
  </si>
  <si>
    <t>分论坛一</t>
  </si>
  <si>
    <t>分论坛二</t>
  </si>
  <si>
    <t>分论坛三</t>
  </si>
  <si>
    <t>分论坛四</t>
  </si>
  <si>
    <t>分论坛五</t>
  </si>
  <si>
    <t>分论坛六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</si>
</sst>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b/>
      <sz val="16"/>
      <color theme="1"/>
      <name val="宋体"/>
      <charset val="134"/>
      <scheme val="minor"/>
    </font>
    <font>
      <b/>
      <sz val="11"/>
      <color rgb="FFFF0000"/>
      <name val="宋体"/>
      <charset val="134"/>
      <scheme val="minor"/>
    </font>
    <font>
      <b/>
      <sz val="14"/>
      <color rgb="FFFFFF00"/>
      <name val="宋体"/>
      <charset val="134"/>
      <scheme val="minor"/>
    </font>
    <font>
      <b/>
      <sz val="11"/>
      <color theme="1"/>
      <name val="宋体"/>
      <charset val="134"/>
      <scheme val="minor"/>
    </font>
    <font>
      <sz val="10"/>
      <color theme="1"/>
      <name val="宋体"/>
      <charset val="134"/>
      <scheme val="minor"/>
    </font>
    <font>
      <sz val="11"/>
      <color rgb="FF000000"/>
      <name val="宋体"/>
      <charset val="134"/>
      <scheme val="minor"/>
    </font>
    <font>
      <sz val="11"/>
      <color rgb="FF000000"/>
      <name val="微软雅黑"/>
      <charset val="134"/>
    </font>
    <font>
      <sz val="11"/>
      <color rgb="FF000000"/>
      <name val="Times New Roman"/>
      <charset val="134"/>
    </font>
    <font>
      <sz val="11"/>
      <color theme="1"/>
      <name val="Times New Roman"/>
      <charset val="134"/>
    </font>
    <font>
      <sz val="11"/>
      <color rgb="FFFF0000"/>
      <name val="微软雅黑"/>
      <charset val="134"/>
    </font>
    <font>
      <sz val="11"/>
      <name val="Times New Roman"/>
      <charset val="134"/>
    </font>
    <font>
      <sz val="11"/>
      <color theme="1"/>
      <name val="微软雅黑"/>
      <charset val="134"/>
    </font>
    <font>
      <sz val="11"/>
      <color rgb="FF000000"/>
      <name val="方正仿宋_GB2312"/>
      <charset val="134"/>
    </font>
    <font>
      <sz val="11"/>
      <color rgb="FF000000"/>
      <name val="Calibri"/>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9">
    <fill>
      <patternFill patternType="none"/>
    </fill>
    <fill>
      <patternFill patternType="gray125"/>
    </fill>
    <fill>
      <patternFill patternType="solid">
        <fgColor theme="1" tint="0.5"/>
        <bgColor indexed="64"/>
      </patternFill>
    </fill>
    <fill>
      <patternFill patternType="solid">
        <fgColor rgb="FFFF0000"/>
        <bgColor indexed="64"/>
      </patternFill>
    </fill>
    <fill>
      <patternFill patternType="solid">
        <fgColor rgb="FFFFC000"/>
        <bgColor indexed="64"/>
      </patternFill>
    </fill>
    <fill>
      <patternFill patternType="solid">
        <fgColor theme="0"/>
        <bgColor indexed="64"/>
      </patternFill>
    </fill>
    <fill>
      <patternFill patternType="solid">
        <fgColor theme="7" tint="0.6"/>
        <bgColor indexed="64"/>
      </patternFill>
    </fill>
    <fill>
      <patternFill patternType="solid">
        <fgColor rgb="FF92D050"/>
        <bgColor indexed="64"/>
      </patternFill>
    </fill>
    <fill>
      <patternFill patternType="solid">
        <fgColor theme="2" tint="-0.1"/>
        <bgColor indexed="64"/>
      </patternFill>
    </fill>
    <fill>
      <patternFill patternType="solid">
        <fgColor theme="9" tint="0.8"/>
        <bgColor indexed="64"/>
      </patternFill>
    </fill>
    <fill>
      <patternFill patternType="solid">
        <fgColor theme="8" tint="0.8"/>
        <bgColor indexed="64"/>
      </patternFill>
    </fill>
    <fill>
      <patternFill patternType="solid">
        <fgColor theme="7" tint="0.8"/>
        <bgColor indexed="64"/>
      </patternFill>
    </fill>
    <fill>
      <patternFill patternType="solid">
        <fgColor theme="5" tint="0.8"/>
        <bgColor indexed="64"/>
      </patternFill>
    </fill>
    <fill>
      <patternFill patternType="solid">
        <fgColor theme="4" tint="0.8"/>
        <bgColor indexed="64"/>
      </patternFill>
    </fill>
    <fill>
      <patternFill patternType="solid">
        <fgColor theme="3" tint="0.8"/>
        <bgColor indexed="64"/>
      </patternFill>
    </fill>
    <fill>
      <patternFill patternType="solid">
        <fgColor theme="6" tint="0.8"/>
        <bgColor indexed="64"/>
      </patternFill>
    </fill>
    <fill>
      <patternFill patternType="solid">
        <fgColor rgb="FFFFFFFF"/>
        <bgColor indexed="64"/>
      </patternFill>
    </fill>
    <fill>
      <patternFill patternType="solid">
        <fgColor theme="6"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6" fillId="0" borderId="0">
      <alignment vertical="center"/>
    </xf>
    <xf numFmtId="0" fontId="17" fillId="0" borderId="0">
      <alignment vertical="center"/>
    </xf>
    <xf numFmtId="0" fontId="0" fillId="18" borderId="11">
      <alignment vertical="center"/>
    </xf>
    <xf numFmtId="0" fontId="18" fillId="0" borderId="0">
      <alignment vertical="center"/>
    </xf>
    <xf numFmtId="0" fontId="19" fillId="0" borderId="0">
      <alignment vertical="center"/>
    </xf>
    <xf numFmtId="0" fontId="20" fillId="0" borderId="0">
      <alignment vertical="center"/>
    </xf>
    <xf numFmtId="0" fontId="21" fillId="0" borderId="12">
      <alignment vertical="center"/>
    </xf>
    <xf numFmtId="0" fontId="22" fillId="0" borderId="12">
      <alignment vertical="center"/>
    </xf>
    <xf numFmtId="0" fontId="23" fillId="0" borderId="13">
      <alignment vertical="center"/>
    </xf>
    <xf numFmtId="0" fontId="23" fillId="0" borderId="0">
      <alignment vertical="center"/>
    </xf>
    <xf numFmtId="0" fontId="24" fillId="19" borderId="14">
      <alignment vertical="center"/>
    </xf>
    <xf numFmtId="0" fontId="25" fillId="20" borderId="15">
      <alignment vertical="center"/>
    </xf>
    <xf numFmtId="0" fontId="26" fillId="20" borderId="14">
      <alignment vertical="center"/>
    </xf>
    <xf numFmtId="0" fontId="27" fillId="21" borderId="16">
      <alignment vertical="center"/>
    </xf>
    <xf numFmtId="0" fontId="28" fillId="0" borderId="17">
      <alignment vertical="center"/>
    </xf>
    <xf numFmtId="0" fontId="29" fillId="0" borderId="18">
      <alignment vertical="center"/>
    </xf>
    <xf numFmtId="0" fontId="30" fillId="22" borderId="0">
      <alignment vertical="center"/>
    </xf>
    <xf numFmtId="0" fontId="31" fillId="23" borderId="0">
      <alignment vertical="center"/>
    </xf>
    <xf numFmtId="0" fontId="32" fillId="24" borderId="0">
      <alignment vertical="center"/>
    </xf>
    <xf numFmtId="0" fontId="33" fillId="25" borderId="0">
      <alignment vertical="center"/>
    </xf>
    <xf numFmtId="0" fontId="34" fillId="26" borderId="0">
      <alignment vertical="center"/>
    </xf>
    <xf numFmtId="0" fontId="34" fillId="27" borderId="0">
      <alignment vertical="center"/>
    </xf>
    <xf numFmtId="0" fontId="33" fillId="28" borderId="0">
      <alignment vertical="center"/>
    </xf>
    <xf numFmtId="0" fontId="33" fillId="29" borderId="0">
      <alignment vertical="center"/>
    </xf>
    <xf numFmtId="0" fontId="34" fillId="30" borderId="0">
      <alignment vertical="center"/>
    </xf>
    <xf numFmtId="0" fontId="34" fillId="31" borderId="0">
      <alignment vertical="center"/>
    </xf>
    <xf numFmtId="0" fontId="33" fillId="32" borderId="0">
      <alignment vertical="center"/>
    </xf>
    <xf numFmtId="0" fontId="33" fillId="33" borderId="0">
      <alignment vertical="center"/>
    </xf>
    <xf numFmtId="0" fontId="34" fillId="34" borderId="0">
      <alignment vertical="center"/>
    </xf>
    <xf numFmtId="0" fontId="34" fillId="35" borderId="0">
      <alignment vertical="center"/>
    </xf>
    <xf numFmtId="0" fontId="33" fillId="36" borderId="0">
      <alignment vertical="center"/>
    </xf>
    <xf numFmtId="0" fontId="33" fillId="37" borderId="0">
      <alignment vertical="center"/>
    </xf>
    <xf numFmtId="0" fontId="34" fillId="38" borderId="0">
      <alignment vertical="center"/>
    </xf>
    <xf numFmtId="0" fontId="34" fillId="39" borderId="0">
      <alignment vertical="center"/>
    </xf>
    <xf numFmtId="0" fontId="33" fillId="40" borderId="0">
      <alignment vertical="center"/>
    </xf>
    <xf numFmtId="0" fontId="33" fillId="41" borderId="0">
      <alignment vertical="center"/>
    </xf>
    <xf numFmtId="0" fontId="34" fillId="42" borderId="0">
      <alignment vertical="center"/>
    </xf>
    <xf numFmtId="0" fontId="34" fillId="43" borderId="0">
      <alignment vertical="center"/>
    </xf>
    <xf numFmtId="0" fontId="33" fillId="44" borderId="0">
      <alignment vertical="center"/>
    </xf>
    <xf numFmtId="0" fontId="33" fillId="45" borderId="0">
      <alignment vertical="center"/>
    </xf>
    <xf numFmtId="0" fontId="34" fillId="46" borderId="0">
      <alignment vertical="center"/>
    </xf>
    <xf numFmtId="0" fontId="34" fillId="47" borderId="0">
      <alignment vertical="center"/>
    </xf>
    <xf numFmtId="0" fontId="33" fillId="48" borderId="0">
      <alignment vertical="center"/>
    </xf>
  </cellStyleXfs>
  <cellXfs count="91">
    <xf numFmtId="0" fontId="0" fillId="0" borderId="0" xfId="0" applyAlignment="1">
      <alignment vertical="center"/>
    </xf>
    <xf numFmtId="0" fontId="0" fillId="0" borderId="0" xfId="0" applyAlignment="1" applyProtection="1">
      <alignment horizontal="center" vertical="center"/>
      <protection locked="0"/>
    </xf>
    <xf numFmtId="0" fontId="1"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0" fontId="0" fillId="0" borderId="0" xfId="0" applyAlignment="1" applyProtection="1">
      <alignment vertical="center"/>
      <protection locked="0"/>
    </xf>
    <xf numFmtId="0" fontId="0" fillId="2" borderId="0" xfId="0" applyFill="1" applyAlignment="1" applyProtection="1">
      <alignment horizontal="center" vertical="center"/>
      <protection locked="0"/>
    </xf>
    <xf numFmtId="0" fontId="3" fillId="2" borderId="0" xfId="0" applyFont="1" applyFill="1" applyAlignment="1" applyProtection="1">
      <alignment horizontal="center" vertical="center"/>
      <protection locked="0"/>
    </xf>
    <xf numFmtId="0" fontId="0" fillId="0" borderId="0" xfId="0" applyFill="1" applyAlignment="1" applyProtection="1">
      <alignment horizontal="center" vertical="center"/>
      <protection locked="0"/>
    </xf>
    <xf numFmtId="0" fontId="4" fillId="0" borderId="0" xfId="0" applyFont="1" applyFill="1" applyAlignment="1" applyProtection="1">
      <alignment horizontal="center" vertical="center"/>
      <protection locked="0"/>
    </xf>
    <xf numFmtId="0" fontId="4" fillId="0" borderId="0" xfId="0" applyFont="1" applyAlignment="1" applyProtection="1">
      <alignment horizontal="center" vertical="center"/>
      <protection locked="0"/>
    </xf>
    <xf numFmtId="0" fontId="4" fillId="3" borderId="0" xfId="0" applyFont="1" applyFill="1" applyAlignment="1" applyProtection="1">
      <alignment horizontal="center" vertical="center"/>
      <protection locked="0"/>
    </xf>
    <xf numFmtId="0" fontId="0" fillId="3" borderId="0" xfId="0" applyFill="1" applyAlignment="1" applyProtection="1">
      <alignment horizontal="center" vertical="center"/>
      <protection locked="0"/>
    </xf>
    <xf numFmtId="0" fontId="0" fillId="0" borderId="0" xfId="0" applyFill="1" applyAlignment="1" applyProtection="1">
      <alignment horizontal="center" vertical="center" textRotation="255"/>
      <protection locked="0"/>
    </xf>
    <xf numFmtId="0" fontId="0" fillId="0" borderId="0" xfId="0" applyAlignment="1" applyProtection="1">
      <alignment horizontal="center" vertical="center" textRotation="255"/>
      <protection locked="0"/>
    </xf>
    <xf numFmtId="0" fontId="5" fillId="0" borderId="0" xfId="0" applyFont="1" applyAlignment="1" applyProtection="1">
      <alignment horizontal="center" vertical="center" textRotation="255"/>
      <protection hidden="1"/>
    </xf>
    <xf numFmtId="0" fontId="5" fillId="0" borderId="0" xfId="0" applyFont="1" applyFill="1" applyAlignment="1" applyProtection="1">
      <alignment horizontal="center" vertical="center" textRotation="255"/>
      <protection hidden="1"/>
    </xf>
    <xf numFmtId="0" fontId="0" fillId="0" borderId="0" xfId="0" applyBorder="1" applyAlignment="1" applyProtection="1">
      <alignment horizontal="center" vertical="center"/>
      <protection locked="0"/>
    </xf>
    <xf numFmtId="0" fontId="0" fillId="4" borderId="0" xfId="0" applyFill="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5" borderId="0" xfId="0" applyFill="1" applyBorder="1" applyAlignment="1" applyProtection="1">
      <alignment vertical="center"/>
      <protection locked="0"/>
    </xf>
    <xf numFmtId="0" fontId="0" fillId="0" borderId="0" xfId="0" applyBorder="1" applyAlignment="1" applyProtection="1">
      <alignment vertical="center"/>
      <protection locked="0"/>
    </xf>
    <xf numFmtId="0" fontId="0" fillId="6" borderId="1" xfId="0" applyFill="1" applyBorder="1" applyAlignment="1" applyProtection="1">
      <alignment horizontal="center" vertical="center"/>
      <protection locked="0"/>
    </xf>
    <xf numFmtId="0" fontId="0" fillId="0" borderId="1" xfId="0" applyBorder="1" applyAlignment="1" applyProtection="1">
      <alignment horizontal="center" vertical="center" textRotation="255"/>
      <protection hidden="1"/>
    </xf>
    <xf numFmtId="0" fontId="0" fillId="7" borderId="0" xfId="0" applyFill="1" applyAlignment="1" applyProtection="1">
      <alignment horizontal="center" vertical="center"/>
      <protection locked="0"/>
    </xf>
    <xf numFmtId="0" fontId="0" fillId="0" borderId="1" xfId="0" applyBorder="1" applyAlignment="1" applyProtection="1">
      <alignment horizontal="center" vertical="center"/>
      <protection hidden="1"/>
    </xf>
    <xf numFmtId="0" fontId="0" fillId="8" borderId="1" xfId="0" applyFill="1" applyBorder="1" applyAlignment="1" applyProtection="1">
      <alignment horizontal="center" vertical="center"/>
      <protection locked="0"/>
    </xf>
    <xf numFmtId="0" fontId="0" fillId="9" borderId="1" xfId="0" applyFill="1" applyBorder="1" applyAlignment="1" applyProtection="1">
      <alignment horizontal="center" vertical="center" textRotation="255"/>
      <protection hidden="1"/>
    </xf>
    <xf numFmtId="0" fontId="0" fillId="10" borderId="1" xfId="0" applyFill="1" applyBorder="1" applyAlignment="1" applyProtection="1">
      <alignment horizontal="center" vertical="center" textRotation="255"/>
      <protection hidden="1"/>
    </xf>
    <xf numFmtId="0" fontId="0" fillId="11" borderId="1" xfId="0" applyFill="1" applyBorder="1" applyAlignment="1" applyProtection="1">
      <alignment horizontal="center" vertical="center" textRotation="255"/>
      <protection hidden="1"/>
    </xf>
    <xf numFmtId="0" fontId="0" fillId="12" borderId="1" xfId="0" applyFill="1" applyBorder="1" applyAlignment="1" applyProtection="1">
      <alignment horizontal="center" vertical="center" textRotation="255"/>
      <protection hidden="1"/>
    </xf>
    <xf numFmtId="0" fontId="0" fillId="13" borderId="1" xfId="0" applyFill="1" applyBorder="1" applyAlignment="1" applyProtection="1">
      <alignment horizontal="center" vertical="center" textRotation="255"/>
      <protection hidden="1"/>
    </xf>
    <xf numFmtId="0" fontId="0" fillId="14" borderId="1" xfId="0" applyFill="1" applyBorder="1" applyAlignment="1" applyProtection="1">
      <alignment horizontal="center" vertical="center" textRotation="255"/>
      <protection hidden="1"/>
    </xf>
    <xf numFmtId="0" fontId="0" fillId="15" borderId="1" xfId="0" applyFill="1" applyBorder="1" applyAlignment="1" applyProtection="1">
      <alignment horizontal="center" vertical="center" textRotation="255"/>
      <protection hidden="1"/>
    </xf>
    <xf numFmtId="0" fontId="0" fillId="0" borderId="2" xfId="0" applyBorder="1" applyAlignment="1" applyProtection="1">
      <alignment horizontal="center" vertical="center"/>
      <protection locked="0"/>
    </xf>
    <xf numFmtId="0" fontId="0" fillId="8" borderId="2" xfId="0" applyFill="1"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5" borderId="1" xfId="0" applyFill="1" applyBorder="1" applyAlignment="1" applyProtection="1">
      <alignment horizontal="center" vertical="center"/>
      <protection locked="0"/>
    </xf>
    <xf numFmtId="0" fontId="4" fillId="0" borderId="0" xfId="0" applyFont="1" applyAlignment="1" applyProtection="1">
      <alignment horizontal="center" vertical="center"/>
      <protection hidden="1"/>
    </xf>
    <xf numFmtId="0" fontId="0" fillId="9" borderId="0" xfId="0" applyFill="1" applyAlignment="1" applyProtection="1">
      <alignment horizontal="center" vertical="center"/>
      <protection locked="0"/>
    </xf>
    <xf numFmtId="0" fontId="0" fillId="10" borderId="0" xfId="0" applyFill="1" applyAlignment="1" applyProtection="1">
      <alignment horizontal="center" vertical="center"/>
      <protection locked="0"/>
    </xf>
    <xf numFmtId="0" fontId="0" fillId="11" borderId="0" xfId="0" applyFill="1" applyAlignment="1" applyProtection="1">
      <alignment horizontal="center" vertical="center"/>
      <protection locked="0"/>
    </xf>
    <xf numFmtId="0" fontId="0" fillId="15" borderId="0" xfId="0"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0" fillId="13" borderId="0" xfId="0" applyFill="1" applyAlignment="1" applyProtection="1">
      <alignment horizontal="center" vertical="center"/>
      <protection locked="0"/>
    </xf>
    <xf numFmtId="0" fontId="0" fillId="8" borderId="0" xfId="0" applyFill="1" applyAlignment="1" applyProtection="1">
      <alignment horizontal="center" vertical="center"/>
      <protection locked="0"/>
    </xf>
    <xf numFmtId="0" fontId="0" fillId="0" borderId="1" xfId="0" applyBorder="1" applyAlignment="1">
      <alignment horizontal="center" vertical="center"/>
    </xf>
    <xf numFmtId="0" fontId="6" fillId="13" borderId="4" xfId="0" applyFont="1" applyFill="1" applyBorder="1" applyAlignment="1">
      <alignment horizontal="center" vertical="center" wrapText="1"/>
    </xf>
    <xf numFmtId="0" fontId="7" fillId="13" borderId="5" xfId="0" applyFont="1" applyFill="1" applyBorder="1" applyAlignment="1">
      <alignment horizontal="center" vertical="center" wrapText="1"/>
    </xf>
    <xf numFmtId="0" fontId="7" fillId="13" borderId="5" xfId="0" applyFont="1" applyFill="1" applyBorder="1" applyAlignment="1">
      <alignment horizontal="center" vertical="center"/>
    </xf>
    <xf numFmtId="0" fontId="8" fillId="0" borderId="1" xfId="0" applyFont="1" applyFill="1" applyBorder="1" applyAlignment="1">
      <alignment horizontal="center" vertical="center"/>
    </xf>
    <xf numFmtId="0" fontId="8" fillId="0" borderId="1" xfId="0" applyFont="1" applyBorder="1" applyAlignment="1">
      <alignment horizontal="center" vertical="center"/>
    </xf>
    <xf numFmtId="0" fontId="7" fillId="0" borderId="5" xfId="0" applyFont="1" applyBorder="1" applyAlignment="1">
      <alignment horizontal="center" vertical="center" wrapText="1"/>
    </xf>
    <xf numFmtId="0" fontId="7" fillId="0" borderId="5"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7" fillId="0" borderId="5" xfId="0" applyFont="1" applyBorder="1" applyAlignment="1">
      <alignment horizontal="center" vertical="center"/>
    </xf>
    <xf numFmtId="0" fontId="10" fillId="0"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xf>
    <xf numFmtId="0" fontId="0" fillId="0" borderId="0" xfId="0" applyFill="1" applyAlignment="1">
      <alignment horizontal="center" vertical="center"/>
    </xf>
    <xf numFmtId="0" fontId="7"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8" fillId="16"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5"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wrapText="1"/>
    </xf>
    <xf numFmtId="0" fontId="7" fillId="0" borderId="7" xfId="0" applyFont="1" applyBorder="1" applyAlignment="1">
      <alignment horizontal="center" vertical="center" wrapText="1"/>
    </xf>
    <xf numFmtId="0" fontId="0" fillId="0" borderId="0" xfId="0">
      <alignment vertical="center"/>
    </xf>
    <xf numFmtId="0" fontId="7" fillId="0" borderId="4" xfId="0" applyFont="1" applyBorder="1" applyAlignment="1">
      <alignment horizontal="center" vertical="center" wrapText="1"/>
    </xf>
    <xf numFmtId="0" fontId="7" fillId="0" borderId="7" xfId="0" applyFont="1" applyBorder="1" applyAlignment="1">
      <alignment horizontal="center" vertical="center"/>
    </xf>
    <xf numFmtId="0" fontId="7" fillId="0" borderId="8" xfId="0" applyFont="1" applyBorder="1" applyAlignment="1">
      <alignment horizontal="center" vertical="center" wrapText="1"/>
    </xf>
    <xf numFmtId="0" fontId="7" fillId="16" borderId="5" xfId="0" applyFont="1" applyFill="1" applyBorder="1" applyAlignment="1">
      <alignment horizontal="center" vertical="center"/>
    </xf>
    <xf numFmtId="0" fontId="7" fillId="16" borderId="5" xfId="0" applyFont="1" applyFill="1"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3" fillId="0" borderId="5" xfId="0" applyFont="1" applyBorder="1" applyAlignment="1">
      <alignment horizontal="center" vertical="center"/>
    </xf>
    <xf numFmtId="0" fontId="7" fillId="16" borderId="4" xfId="0" applyFont="1" applyFill="1" applyBorder="1" applyAlignment="1">
      <alignment horizontal="center" vertical="center"/>
    </xf>
    <xf numFmtId="0" fontId="14" fillId="17" borderId="5" xfId="0" applyFont="1" applyFill="1" applyBorder="1" applyAlignment="1">
      <alignment horizontal="center" vertical="center" wrapText="1"/>
    </xf>
    <xf numFmtId="0" fontId="15" fillId="17" borderId="5" xfId="0" applyFont="1" applyFill="1" applyBorder="1" applyAlignment="1">
      <alignment horizontal="center" vertical="center" wrapText="1"/>
    </xf>
    <xf numFmtId="0" fontId="14" fillId="17" borderId="5" xfId="0" applyFont="1" applyFill="1" applyBorder="1" applyAlignment="1">
      <alignment horizontal="center" vertical="center"/>
    </xf>
    <xf numFmtId="0" fontId="14" fillId="17" borderId="7" xfId="0" applyFont="1" applyFill="1" applyBorder="1" applyAlignment="1">
      <alignment horizontal="center" vertical="center" wrapText="1"/>
    </xf>
    <xf numFmtId="0" fontId="13" fillId="0" borderId="5" xfId="0" applyFont="1" applyBorder="1" applyAlignment="1">
      <alignment horizontal="center" vertical="center" wrapText="1"/>
    </xf>
    <xf numFmtId="0" fontId="7" fillId="0" borderId="9" xfId="0" applyFont="1" applyFill="1" applyBorder="1" applyAlignment="1">
      <alignment horizontal="center" vertical="center" wrapText="1"/>
    </xf>
    <xf numFmtId="0" fontId="7" fillId="0" borderId="10" xfId="0" applyFont="1" applyBorder="1" applyAlignment="1">
      <alignment horizontal="center" vertical="center" wrapText="1"/>
    </xf>
    <xf numFmtId="0" fontId="7" fillId="0" borderId="10" xfId="0" applyFont="1" applyBorder="1" applyAlignment="1">
      <alignment horizontal="center" vertical="center"/>
    </xf>
    <xf numFmtId="0" fontId="10" fillId="0" borderId="4" xfId="0" applyFont="1" applyBorder="1" applyAlignment="1">
      <alignment horizontal="center" vertical="center" wrapText="1"/>
    </xf>
    <xf numFmtId="0" fontId="10" fillId="0" borderId="4" xfId="0" applyFont="1" applyBorder="1" applyAlignment="1">
      <alignment horizontal="center" vertical="center"/>
    </xf>
    <xf numFmtId="0" fontId="10" fillId="0" borderId="5" xfId="0" applyFont="1" applyBorder="1" applyAlignment="1">
      <alignment horizontal="center" vertical="center" wrapText="1"/>
    </xf>
    <xf numFmtId="0" fontId="10" fillId="0" borderId="5" xfId="0" applyFont="1" applyBorder="1" applyAlignment="1">
      <alignment horizontal="center" vertical="center"/>
    </xf>
    <xf numFmtId="0" fontId="0" fillId="12" borderId="1" xfId="0" applyFill="1" applyBorder="1" applyAlignment="1" applyProtection="1" quotePrefix="1">
      <alignment horizontal="center" vertical="center" textRotation="255"/>
      <protection hidden="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223"/>
  <sheetViews>
    <sheetView tabSelected="1" zoomScale="145" zoomScaleNormal="145" workbookViewId="0">
      <selection activeCell="A369" sqref="$A224:$XFD369"/>
    </sheetView>
  </sheetViews>
  <sheetFormatPr defaultColWidth="9" defaultRowHeight="14.4" outlineLevelCol="4"/>
  <cols>
    <col min="1" max="1" width="6.37962962962963" customWidth="1"/>
    <col min="2" max="2" width="34.9444444444444" customWidth="1"/>
    <col min="3" max="3" width="38.1574074074074" customWidth="1"/>
    <col min="4" max="4" width="26.4351851851852" customWidth="1"/>
  </cols>
  <sheetData>
    <row r="2" spans="1:5">
      <c r="A2" s="45" t="s">
        <v>0</v>
      </c>
      <c r="B2" s="45" t="s">
        <v>1</v>
      </c>
      <c r="C2" s="45" t="s">
        <v>2</v>
      </c>
      <c r="D2" s="45" t="s">
        <v>3</v>
      </c>
      <c r="E2" s="45" t="s">
        <v>4</v>
      </c>
    </row>
    <row r="3" ht="31.2" spans="1:5">
      <c r="A3" s="45">
        <v>1</v>
      </c>
      <c r="B3" s="46" t="s">
        <v>5</v>
      </c>
      <c r="C3" s="47"/>
      <c r="D3" s="47" t="s">
        <v>6</v>
      </c>
      <c r="E3" s="45">
        <v>1</v>
      </c>
    </row>
    <row r="4" ht="15.6" spans="1:5">
      <c r="A4" s="45">
        <v>2</v>
      </c>
      <c r="B4" s="46" t="s">
        <v>7</v>
      </c>
      <c r="C4" s="47" t="s">
        <v>8</v>
      </c>
      <c r="D4" s="47" t="s">
        <v>9</v>
      </c>
      <c r="E4" s="45">
        <v>2</v>
      </c>
    </row>
    <row r="5" ht="15.6" spans="1:5">
      <c r="A5" s="45">
        <v>3</v>
      </c>
      <c r="B5" s="46" t="s">
        <v>10</v>
      </c>
      <c r="C5" s="47" t="s">
        <v>11</v>
      </c>
      <c r="D5" s="47" t="s">
        <v>12</v>
      </c>
      <c r="E5" s="45">
        <v>3</v>
      </c>
    </row>
    <row r="6" ht="28.8" spans="1:5">
      <c r="A6" s="45">
        <v>4</v>
      </c>
      <c r="B6" s="46" t="s">
        <v>13</v>
      </c>
      <c r="C6" s="47" t="s">
        <v>14</v>
      </c>
      <c r="D6" s="47" t="s">
        <v>15</v>
      </c>
      <c r="E6" s="45">
        <v>4</v>
      </c>
    </row>
    <row r="7" ht="15.6" spans="1:5">
      <c r="A7" s="45">
        <v>5</v>
      </c>
      <c r="B7" s="46" t="s">
        <v>16</v>
      </c>
      <c r="C7" s="47" t="s">
        <v>17</v>
      </c>
      <c r="D7" s="47" t="s">
        <v>18</v>
      </c>
      <c r="E7" s="45">
        <v>5</v>
      </c>
    </row>
    <row r="8" ht="15.6" spans="1:5">
      <c r="A8" s="45">
        <v>6</v>
      </c>
      <c r="B8" s="46" t="s">
        <v>19</v>
      </c>
      <c r="C8" s="47" t="s">
        <v>20</v>
      </c>
      <c r="D8" s="47" t="s">
        <v>21</v>
      </c>
      <c r="E8" s="45">
        <v>6</v>
      </c>
    </row>
    <row r="9" ht="31.2" spans="1:5">
      <c r="A9" s="45">
        <v>7</v>
      </c>
      <c r="B9" s="46" t="s">
        <v>22</v>
      </c>
      <c r="C9" s="47" t="s">
        <v>23</v>
      </c>
      <c r="D9" s="47" t="s">
        <v>24</v>
      </c>
      <c r="E9" s="45">
        <v>7</v>
      </c>
    </row>
    <row r="10" ht="15.6" spans="1:5">
      <c r="A10" s="45">
        <v>8</v>
      </c>
      <c r="B10" s="46" t="s">
        <v>25</v>
      </c>
      <c r="C10" s="47" t="s">
        <v>26</v>
      </c>
      <c r="D10" s="47" t="s">
        <v>21</v>
      </c>
      <c r="E10" s="45">
        <v>8</v>
      </c>
    </row>
    <row r="11" ht="31.2" spans="1:5">
      <c r="A11" s="45">
        <v>9</v>
      </c>
      <c r="B11" s="46" t="s">
        <v>27</v>
      </c>
      <c r="C11" s="47" t="s">
        <v>28</v>
      </c>
      <c r="D11" s="47" t="s">
        <v>21</v>
      </c>
      <c r="E11" s="45">
        <v>9</v>
      </c>
    </row>
    <row r="12" ht="28.8" spans="1:5">
      <c r="A12" s="45">
        <v>10</v>
      </c>
      <c r="B12" s="46" t="s">
        <v>29</v>
      </c>
      <c r="C12" s="47" t="s">
        <v>30</v>
      </c>
      <c r="D12" s="47" t="s">
        <v>21</v>
      </c>
      <c r="E12" s="45">
        <v>10</v>
      </c>
    </row>
    <row r="13" ht="28.8" spans="1:5">
      <c r="A13" s="45">
        <v>11</v>
      </c>
      <c r="B13" s="46" t="s">
        <v>31</v>
      </c>
      <c r="C13" s="47" t="s">
        <v>32</v>
      </c>
      <c r="D13" s="48" t="s">
        <v>21</v>
      </c>
      <c r="E13" s="45">
        <v>11</v>
      </c>
    </row>
    <row r="14" ht="28.8" spans="1:5">
      <c r="A14" s="45">
        <v>12</v>
      </c>
      <c r="B14" s="46" t="s">
        <v>33</v>
      </c>
      <c r="C14" s="47" t="s">
        <v>32</v>
      </c>
      <c r="D14" s="48" t="s">
        <v>21</v>
      </c>
      <c r="E14" s="45">
        <v>12</v>
      </c>
    </row>
    <row r="15" ht="15.6" spans="1:5">
      <c r="A15" s="45">
        <v>13</v>
      </c>
      <c r="B15" s="46" t="s">
        <v>34</v>
      </c>
      <c r="C15" s="47" t="s">
        <v>35</v>
      </c>
      <c r="D15" s="47" t="s">
        <v>36</v>
      </c>
      <c r="E15" s="45">
        <v>13</v>
      </c>
    </row>
    <row r="16" ht="15.6" spans="1:5">
      <c r="A16" s="45">
        <v>14</v>
      </c>
      <c r="B16" s="49" t="s">
        <v>37</v>
      </c>
      <c r="C16" s="50" t="s">
        <v>38</v>
      </c>
      <c r="D16" s="50" t="s">
        <v>39</v>
      </c>
      <c r="E16" s="45">
        <v>14</v>
      </c>
    </row>
    <row r="17" ht="31.2" spans="1:5">
      <c r="A17" s="45">
        <v>15</v>
      </c>
      <c r="B17" s="51" t="s">
        <v>40</v>
      </c>
      <c r="C17" s="51" t="s">
        <v>41</v>
      </c>
      <c r="D17" s="51" t="s">
        <v>42</v>
      </c>
      <c r="E17" s="45">
        <v>15</v>
      </c>
    </row>
    <row r="18" ht="31.2" spans="1:5">
      <c r="A18" s="45">
        <v>16</v>
      </c>
      <c r="B18" s="51" t="s">
        <v>43</v>
      </c>
      <c r="C18" s="51" t="s">
        <v>44</v>
      </c>
      <c r="D18" s="51" t="s">
        <v>45</v>
      </c>
      <c r="E18" s="45">
        <v>16</v>
      </c>
    </row>
    <row r="19" ht="31.2" spans="1:5">
      <c r="A19" s="45">
        <v>17</v>
      </c>
      <c r="B19" s="51" t="s">
        <v>46</v>
      </c>
      <c r="C19" s="51" t="s">
        <v>47</v>
      </c>
      <c r="D19" s="51" t="s">
        <v>48</v>
      </c>
      <c r="E19" s="45">
        <v>17</v>
      </c>
    </row>
    <row r="20" ht="31.2" spans="1:5">
      <c r="A20" s="45">
        <v>18</v>
      </c>
      <c r="B20" s="52" t="s">
        <v>49</v>
      </c>
      <c r="C20" s="51" t="s">
        <v>50</v>
      </c>
      <c r="D20" s="51" t="s">
        <v>51</v>
      </c>
      <c r="E20" s="45">
        <v>18</v>
      </c>
    </row>
    <row r="21" ht="15.6" spans="1:5">
      <c r="A21" s="45">
        <v>19</v>
      </c>
      <c r="B21" s="51" t="s">
        <v>52</v>
      </c>
      <c r="C21" s="51" t="s">
        <v>53</v>
      </c>
      <c r="D21" s="51" t="s">
        <v>54</v>
      </c>
      <c r="E21" s="45">
        <v>19</v>
      </c>
    </row>
    <row r="22" ht="31.2" spans="1:5">
      <c r="A22" s="45">
        <v>20</v>
      </c>
      <c r="B22" s="51" t="s">
        <v>55</v>
      </c>
      <c r="C22" s="51" t="s">
        <v>56</v>
      </c>
      <c r="D22" s="51" t="s">
        <v>57</v>
      </c>
      <c r="E22" s="45">
        <v>20</v>
      </c>
    </row>
    <row r="23" ht="15.6" spans="1:5">
      <c r="A23" s="45">
        <v>21</v>
      </c>
      <c r="B23" s="51" t="s">
        <v>58</v>
      </c>
      <c r="C23" s="51" t="s">
        <v>59</v>
      </c>
      <c r="D23" s="51" t="s">
        <v>60</v>
      </c>
      <c r="E23" s="45">
        <v>21</v>
      </c>
    </row>
    <row r="24" ht="31.2" spans="1:5">
      <c r="A24" s="45">
        <v>22</v>
      </c>
      <c r="B24" s="51" t="s">
        <v>61</v>
      </c>
      <c r="C24" s="51" t="s">
        <v>62</v>
      </c>
      <c r="D24" s="51" t="s">
        <v>63</v>
      </c>
      <c r="E24" s="45">
        <v>22</v>
      </c>
    </row>
    <row r="25" ht="31.2" spans="1:5">
      <c r="A25" s="45">
        <v>23</v>
      </c>
      <c r="B25" s="51" t="s">
        <v>64</v>
      </c>
      <c r="C25" s="51" t="s">
        <v>65</v>
      </c>
      <c r="D25" s="51" t="s">
        <v>66</v>
      </c>
      <c r="E25" s="45">
        <v>23</v>
      </c>
    </row>
    <row r="26" ht="29.4" spans="1:5">
      <c r="A26" s="45">
        <v>24</v>
      </c>
      <c r="B26" s="53" t="s">
        <v>67</v>
      </c>
      <c r="C26" s="51" t="s">
        <v>44</v>
      </c>
      <c r="D26" s="54" t="s">
        <v>68</v>
      </c>
      <c r="E26" s="45">
        <v>24</v>
      </c>
    </row>
    <row r="27" ht="31.2" spans="1:5">
      <c r="A27" s="45">
        <v>25</v>
      </c>
      <c r="B27" s="51" t="s">
        <v>69</v>
      </c>
      <c r="C27" s="51" t="s">
        <v>44</v>
      </c>
      <c r="D27" s="51" t="s">
        <v>70</v>
      </c>
      <c r="E27" s="45">
        <v>25</v>
      </c>
    </row>
    <row r="28" ht="31.2" spans="1:5">
      <c r="A28" s="45">
        <v>26</v>
      </c>
      <c r="B28" s="51" t="s">
        <v>71</v>
      </c>
      <c r="C28" s="51" t="s">
        <v>44</v>
      </c>
      <c r="D28" s="51" t="s">
        <v>70</v>
      </c>
      <c r="E28" s="45">
        <v>26</v>
      </c>
    </row>
    <row r="29" ht="31.2" spans="1:5">
      <c r="A29" s="45">
        <v>27</v>
      </c>
      <c r="B29" s="51" t="s">
        <v>72</v>
      </c>
      <c r="C29" s="51" t="s">
        <v>44</v>
      </c>
      <c r="D29" s="51" t="s">
        <v>70</v>
      </c>
      <c r="E29" s="45">
        <v>27</v>
      </c>
    </row>
    <row r="30" ht="31.2" spans="1:5">
      <c r="A30" s="45">
        <v>28</v>
      </c>
      <c r="B30" s="51" t="s">
        <v>73</v>
      </c>
      <c r="C30" s="51" t="s">
        <v>44</v>
      </c>
      <c r="D30" s="51" t="s">
        <v>70</v>
      </c>
      <c r="E30" s="45">
        <v>28</v>
      </c>
    </row>
    <row r="31" ht="31.2" spans="1:5">
      <c r="A31" s="45">
        <v>29</v>
      </c>
      <c r="B31" s="51" t="s">
        <v>74</v>
      </c>
      <c r="C31" s="51" t="s">
        <v>44</v>
      </c>
      <c r="D31" s="51" t="s">
        <v>70</v>
      </c>
      <c r="E31" s="45">
        <v>29</v>
      </c>
    </row>
    <row r="32" ht="46.8" spans="1:5">
      <c r="A32" s="45">
        <v>30</v>
      </c>
      <c r="B32" s="51" t="s">
        <v>75</v>
      </c>
      <c r="C32" s="51" t="s">
        <v>44</v>
      </c>
      <c r="D32" s="51" t="s">
        <v>76</v>
      </c>
      <c r="E32" s="45">
        <v>30</v>
      </c>
    </row>
    <row r="33" ht="46.8" spans="1:5">
      <c r="A33" s="45">
        <v>31</v>
      </c>
      <c r="B33" s="51" t="s">
        <v>77</v>
      </c>
      <c r="C33" s="51" t="s">
        <v>65</v>
      </c>
      <c r="D33" s="51" t="s">
        <v>70</v>
      </c>
      <c r="E33" s="45">
        <v>31</v>
      </c>
    </row>
    <row r="34" ht="31.2" spans="1:5">
      <c r="A34" s="45">
        <v>32</v>
      </c>
      <c r="B34" s="51" t="s">
        <v>78</v>
      </c>
      <c r="C34" s="51" t="s">
        <v>79</v>
      </c>
      <c r="D34" s="51" t="s">
        <v>70</v>
      </c>
      <c r="E34" s="45">
        <v>32</v>
      </c>
    </row>
    <row r="35" ht="29.4" spans="1:5">
      <c r="A35" s="45">
        <v>33</v>
      </c>
      <c r="B35" s="53" t="s">
        <v>80</v>
      </c>
      <c r="C35" s="54" t="s">
        <v>81</v>
      </c>
      <c r="D35" s="54" t="s">
        <v>82</v>
      </c>
      <c r="E35" s="45">
        <v>33</v>
      </c>
    </row>
    <row r="36" ht="15.6" spans="1:5">
      <c r="A36" s="45">
        <v>34</v>
      </c>
      <c r="B36" s="55" t="s">
        <v>83</v>
      </c>
      <c r="C36" s="51" t="s">
        <v>84</v>
      </c>
      <c r="D36" s="55" t="s">
        <v>70</v>
      </c>
      <c r="E36" s="45">
        <v>34</v>
      </c>
    </row>
    <row r="37" ht="31.2" spans="1:5">
      <c r="A37" s="45">
        <v>35</v>
      </c>
      <c r="B37" s="51" t="s">
        <v>85</v>
      </c>
      <c r="C37" s="51" t="s">
        <v>41</v>
      </c>
      <c r="D37" s="51" t="s">
        <v>86</v>
      </c>
      <c r="E37" s="45">
        <v>35</v>
      </c>
    </row>
    <row r="38" ht="31.2" spans="1:5">
      <c r="A38" s="45">
        <v>36</v>
      </c>
      <c r="B38" s="51" t="s">
        <v>87</v>
      </c>
      <c r="C38" s="51" t="s">
        <v>41</v>
      </c>
      <c r="D38" s="51" t="s">
        <v>86</v>
      </c>
      <c r="E38" s="45">
        <v>36</v>
      </c>
    </row>
    <row r="39" ht="31.2" spans="1:5">
      <c r="A39" s="45">
        <v>37</v>
      </c>
      <c r="B39" s="51" t="s">
        <v>88</v>
      </c>
      <c r="C39" s="51" t="s">
        <v>89</v>
      </c>
      <c r="D39" s="51" t="s">
        <v>90</v>
      </c>
      <c r="E39" s="45">
        <v>37</v>
      </c>
    </row>
    <row r="40" ht="15.6" spans="1:5">
      <c r="A40" s="45">
        <v>38</v>
      </c>
      <c r="B40" s="55" t="s">
        <v>91</v>
      </c>
      <c r="C40" s="51" t="s">
        <v>84</v>
      </c>
      <c r="D40" s="55" t="s">
        <v>92</v>
      </c>
      <c r="E40" s="45">
        <v>38</v>
      </c>
    </row>
    <row r="41" ht="15.6" spans="1:5">
      <c r="A41" s="45">
        <v>39</v>
      </c>
      <c r="B41" s="56" t="s">
        <v>93</v>
      </c>
      <c r="C41" s="57" t="s">
        <v>94</v>
      </c>
      <c r="D41" s="57" t="s">
        <v>95</v>
      </c>
      <c r="E41" s="45">
        <v>39</v>
      </c>
    </row>
    <row r="42" ht="15.6" spans="1:5">
      <c r="A42" s="45">
        <v>40</v>
      </c>
      <c r="B42" s="49" t="s">
        <v>96</v>
      </c>
      <c r="C42" s="58" t="s">
        <v>97</v>
      </c>
      <c r="D42" s="50" t="s">
        <v>98</v>
      </c>
      <c r="E42" s="45">
        <v>40</v>
      </c>
    </row>
    <row r="43" ht="15.6" spans="1:5">
      <c r="A43" s="45">
        <v>41</v>
      </c>
      <c r="B43" s="49" t="s">
        <v>99</v>
      </c>
      <c r="C43" s="58" t="s">
        <v>100</v>
      </c>
      <c r="D43" s="50" t="s">
        <v>98</v>
      </c>
      <c r="E43" s="45">
        <v>41</v>
      </c>
    </row>
    <row r="44" ht="15.6" spans="1:5">
      <c r="A44" s="45">
        <v>42</v>
      </c>
      <c r="B44" s="49" t="s">
        <v>101</v>
      </c>
      <c r="C44" s="58" t="s">
        <v>102</v>
      </c>
      <c r="D44" s="50" t="s">
        <v>98</v>
      </c>
      <c r="E44" s="45">
        <v>42</v>
      </c>
    </row>
    <row r="45" ht="15.6" spans="1:5">
      <c r="A45" s="45">
        <v>43</v>
      </c>
      <c r="B45" s="49" t="s">
        <v>103</v>
      </c>
      <c r="C45" s="58" t="s">
        <v>104</v>
      </c>
      <c r="D45" s="50" t="s">
        <v>98</v>
      </c>
      <c r="E45" s="45">
        <v>43</v>
      </c>
    </row>
    <row r="46" ht="15.6" spans="1:5">
      <c r="A46" s="45">
        <v>44</v>
      </c>
      <c r="B46" s="49" t="s">
        <v>105</v>
      </c>
      <c r="C46" s="58" t="s">
        <v>106</v>
      </c>
      <c r="D46" s="50" t="s">
        <v>98</v>
      </c>
      <c r="E46" s="45">
        <v>44</v>
      </c>
    </row>
    <row r="47" ht="15.6" spans="1:5">
      <c r="A47" s="45">
        <v>45</v>
      </c>
      <c r="B47" s="49" t="s">
        <v>107</v>
      </c>
      <c r="C47" s="50" t="s">
        <v>108</v>
      </c>
      <c r="D47" s="59"/>
      <c r="E47" s="45">
        <v>45</v>
      </c>
    </row>
    <row r="48" ht="15.6" spans="1:5">
      <c r="A48" s="45">
        <v>46</v>
      </c>
      <c r="B48" s="49" t="s">
        <v>109</v>
      </c>
      <c r="C48" s="58" t="s">
        <v>110</v>
      </c>
      <c r="D48" s="50" t="s">
        <v>98</v>
      </c>
      <c r="E48" s="45">
        <v>46</v>
      </c>
    </row>
    <row r="49" ht="15.6" spans="1:5">
      <c r="A49" s="45">
        <v>47</v>
      </c>
      <c r="B49" s="49" t="s">
        <v>111</v>
      </c>
      <c r="C49" s="58" t="s">
        <v>112</v>
      </c>
      <c r="D49" s="50" t="s">
        <v>98</v>
      </c>
      <c r="E49" s="45">
        <v>47</v>
      </c>
    </row>
    <row r="50" ht="15.6" spans="1:5">
      <c r="A50" s="45">
        <v>48</v>
      </c>
      <c r="B50" s="49" t="s">
        <v>113</v>
      </c>
      <c r="C50" s="58" t="s">
        <v>114</v>
      </c>
      <c r="D50" s="50" t="s">
        <v>98</v>
      </c>
      <c r="E50" s="45">
        <v>48</v>
      </c>
    </row>
    <row r="51" ht="15.6" spans="1:5">
      <c r="A51" s="45">
        <v>49</v>
      </c>
      <c r="B51" s="49" t="s">
        <v>115</v>
      </c>
      <c r="C51" s="58" t="s">
        <v>116</v>
      </c>
      <c r="D51" s="50" t="s">
        <v>98</v>
      </c>
      <c r="E51" s="45">
        <v>49</v>
      </c>
    </row>
    <row r="52" ht="15.6" spans="1:5">
      <c r="A52" s="45">
        <v>50</v>
      </c>
      <c r="B52" s="49" t="s">
        <v>117</v>
      </c>
      <c r="C52" s="58" t="s">
        <v>118</v>
      </c>
      <c r="D52" s="50" t="s">
        <v>98</v>
      </c>
      <c r="E52" s="45">
        <v>50</v>
      </c>
    </row>
    <row r="53" ht="15.6" spans="1:5">
      <c r="A53" s="45">
        <v>51</v>
      </c>
      <c r="B53" s="49" t="s">
        <v>119</v>
      </c>
      <c r="C53" s="58" t="s">
        <v>120</v>
      </c>
      <c r="D53" s="50" t="s">
        <v>98</v>
      </c>
      <c r="E53" s="45">
        <v>51</v>
      </c>
    </row>
    <row r="54" ht="15.6" spans="1:5">
      <c r="A54" s="45">
        <v>52</v>
      </c>
      <c r="B54" s="49" t="s">
        <v>121</v>
      </c>
      <c r="C54" s="58" t="s">
        <v>122</v>
      </c>
      <c r="D54" s="50" t="s">
        <v>98</v>
      </c>
      <c r="E54" s="45">
        <v>52</v>
      </c>
    </row>
    <row r="55" ht="15.6" spans="1:5">
      <c r="A55" s="45">
        <v>53</v>
      </c>
      <c r="B55" s="60" t="s">
        <v>123</v>
      </c>
      <c r="C55" s="61" t="s">
        <v>124</v>
      </c>
      <c r="D55" s="61" t="s">
        <v>125</v>
      </c>
      <c r="E55" s="45">
        <v>53</v>
      </c>
    </row>
    <row r="56" ht="15.6" spans="1:5">
      <c r="A56" s="45">
        <v>54</v>
      </c>
      <c r="B56" s="60" t="s">
        <v>126</v>
      </c>
      <c r="C56" s="61" t="s">
        <v>124</v>
      </c>
      <c r="D56" s="61" t="s">
        <v>125</v>
      </c>
      <c r="E56" s="45">
        <v>54</v>
      </c>
    </row>
    <row r="57" ht="15.6" spans="1:5">
      <c r="A57" s="45">
        <v>55</v>
      </c>
      <c r="B57" s="49" t="s">
        <v>127</v>
      </c>
      <c r="C57" s="58" t="s">
        <v>128</v>
      </c>
      <c r="D57" s="50" t="s">
        <v>98</v>
      </c>
      <c r="E57" s="45">
        <v>55</v>
      </c>
    </row>
    <row r="58" ht="15.6" spans="1:5">
      <c r="A58" s="45">
        <v>56</v>
      </c>
      <c r="B58" s="49" t="s">
        <v>129</v>
      </c>
      <c r="C58" s="58" t="s">
        <v>130</v>
      </c>
      <c r="D58" s="50" t="s">
        <v>98</v>
      </c>
      <c r="E58" s="45">
        <v>56</v>
      </c>
    </row>
    <row r="59" ht="15.6" spans="1:5">
      <c r="A59" s="45">
        <v>57</v>
      </c>
      <c r="B59" s="49" t="s">
        <v>131</v>
      </c>
      <c r="C59" s="62" t="s">
        <v>132</v>
      </c>
      <c r="D59" s="62" t="s">
        <v>133</v>
      </c>
      <c r="E59" s="45">
        <v>57</v>
      </c>
    </row>
    <row r="60" ht="15.6" spans="1:5">
      <c r="A60" s="45">
        <v>58</v>
      </c>
      <c r="B60" s="49" t="s">
        <v>134</v>
      </c>
      <c r="C60" s="58" t="s">
        <v>135</v>
      </c>
      <c r="D60" s="50" t="s">
        <v>98</v>
      </c>
      <c r="E60" s="45">
        <v>58</v>
      </c>
    </row>
    <row r="61" ht="15.6" spans="1:5">
      <c r="A61" s="45">
        <v>59</v>
      </c>
      <c r="B61" s="60" t="s">
        <v>136</v>
      </c>
      <c r="C61" s="62" t="s">
        <v>137</v>
      </c>
      <c r="D61" s="50" t="s">
        <v>98</v>
      </c>
      <c r="E61" s="45">
        <v>59</v>
      </c>
    </row>
    <row r="62" ht="15.6" spans="1:5">
      <c r="A62" s="45">
        <v>60</v>
      </c>
      <c r="B62" s="49" t="s">
        <v>138</v>
      </c>
      <c r="C62" s="58" t="s">
        <v>116</v>
      </c>
      <c r="D62" s="50" t="s">
        <v>98</v>
      </c>
      <c r="E62" s="45">
        <v>60</v>
      </c>
    </row>
    <row r="63" ht="15.6" spans="1:5">
      <c r="A63" s="45">
        <v>61</v>
      </c>
      <c r="B63" s="49" t="s">
        <v>139</v>
      </c>
      <c r="C63" s="58" t="s">
        <v>140</v>
      </c>
      <c r="D63" s="50" t="s">
        <v>98</v>
      </c>
      <c r="E63" s="45">
        <v>61</v>
      </c>
    </row>
    <row r="64" spans="1:5">
      <c r="A64" s="45">
        <v>62</v>
      </c>
      <c r="B64" s="63" t="s">
        <v>141</v>
      </c>
      <c r="C64" s="50" t="s">
        <v>142</v>
      </c>
      <c r="D64" s="54" t="s">
        <v>114</v>
      </c>
      <c r="E64" s="45">
        <v>62</v>
      </c>
    </row>
    <row r="65" ht="15.6" spans="1:5">
      <c r="A65" s="45">
        <v>68</v>
      </c>
      <c r="B65" s="64" t="s">
        <v>143</v>
      </c>
      <c r="C65" s="52" t="s">
        <v>144</v>
      </c>
      <c r="D65" s="52" t="s">
        <v>145</v>
      </c>
      <c r="E65" s="45">
        <v>68</v>
      </c>
    </row>
    <row r="66" ht="15.6" spans="1:5">
      <c r="A66" s="45">
        <v>69</v>
      </c>
      <c r="B66" s="64" t="s">
        <v>146</v>
      </c>
      <c r="C66" s="52" t="s">
        <v>144</v>
      </c>
      <c r="D66" s="52" t="s">
        <v>147</v>
      </c>
      <c r="E66" s="45">
        <v>69</v>
      </c>
    </row>
    <row r="67" ht="15.6" spans="1:5">
      <c r="A67" s="45">
        <v>70</v>
      </c>
      <c r="B67" s="64" t="s">
        <v>148</v>
      </c>
      <c r="C67" s="51" t="s">
        <v>149</v>
      </c>
      <c r="D67" s="51" t="s">
        <v>24</v>
      </c>
      <c r="E67" s="45">
        <v>70</v>
      </c>
    </row>
    <row r="68" ht="15.6" spans="1:5">
      <c r="A68" s="45">
        <v>71</v>
      </c>
      <c r="B68" s="64" t="s">
        <v>150</v>
      </c>
      <c r="C68" s="51" t="s">
        <v>151</v>
      </c>
      <c r="D68" s="51" t="s">
        <v>152</v>
      </c>
      <c r="E68" s="45">
        <v>71</v>
      </c>
    </row>
    <row r="69" ht="15.6" spans="1:5">
      <c r="A69" s="45">
        <v>72</v>
      </c>
      <c r="B69" s="64" t="s">
        <v>153</v>
      </c>
      <c r="C69" s="51" t="s">
        <v>11</v>
      </c>
      <c r="D69" s="51" t="s">
        <v>154</v>
      </c>
      <c r="E69" s="45">
        <v>72</v>
      </c>
    </row>
    <row r="70" ht="15.6" spans="1:5">
      <c r="A70" s="45">
        <v>73</v>
      </c>
      <c r="B70" s="64" t="s">
        <v>155</v>
      </c>
      <c r="C70" s="55" t="s">
        <v>156</v>
      </c>
      <c r="D70" s="51" t="s">
        <v>157</v>
      </c>
      <c r="E70" s="45">
        <v>73</v>
      </c>
    </row>
    <row r="71" ht="31.2" spans="1:5">
      <c r="A71" s="45">
        <v>74</v>
      </c>
      <c r="B71" s="64" t="s">
        <v>158</v>
      </c>
      <c r="C71" s="51" t="s">
        <v>159</v>
      </c>
      <c r="D71" s="65" t="s">
        <v>160</v>
      </c>
      <c r="E71" s="45">
        <v>74</v>
      </c>
    </row>
    <row r="72" ht="15.6" spans="1:5">
      <c r="A72" s="45">
        <v>75</v>
      </c>
      <c r="B72" s="64" t="s">
        <v>161</v>
      </c>
      <c r="C72" s="55" t="s">
        <v>162</v>
      </c>
      <c r="D72" s="51" t="s">
        <v>157</v>
      </c>
      <c r="E72" s="45">
        <v>75</v>
      </c>
    </row>
    <row r="73" ht="15.6" spans="1:5">
      <c r="A73" s="45">
        <v>76</v>
      </c>
      <c r="B73" s="64" t="s">
        <v>163</v>
      </c>
      <c r="C73" s="52" t="s">
        <v>144</v>
      </c>
      <c r="D73" s="52" t="s">
        <v>147</v>
      </c>
      <c r="E73" s="45">
        <v>76</v>
      </c>
    </row>
    <row r="74" ht="31.2" spans="1:5">
      <c r="A74" s="45">
        <v>77</v>
      </c>
      <c r="B74" s="64" t="s">
        <v>164</v>
      </c>
      <c r="C74" s="51" t="s">
        <v>165</v>
      </c>
      <c r="D74" s="51" t="s">
        <v>166</v>
      </c>
      <c r="E74" s="45">
        <v>77</v>
      </c>
    </row>
    <row r="75" ht="15.6" spans="1:5">
      <c r="A75" s="45">
        <v>78</v>
      </c>
      <c r="B75" s="66" t="s">
        <v>167</v>
      </c>
      <c r="C75" s="52" t="s">
        <v>168</v>
      </c>
      <c r="D75" s="65" t="s">
        <v>12</v>
      </c>
      <c r="E75" s="45">
        <v>78</v>
      </c>
    </row>
    <row r="76" ht="15.6" spans="1:5">
      <c r="A76" s="45">
        <v>79</v>
      </c>
      <c r="B76" s="64" t="s">
        <v>169</v>
      </c>
      <c r="C76" s="51" t="s">
        <v>170</v>
      </c>
      <c r="D76" s="51" t="s">
        <v>171</v>
      </c>
      <c r="E76" s="45">
        <v>79</v>
      </c>
    </row>
    <row r="77" ht="46.8" spans="1:5">
      <c r="A77" s="45">
        <v>80</v>
      </c>
      <c r="B77" s="64" t="s">
        <v>172</v>
      </c>
      <c r="C77" s="55" t="s">
        <v>173</v>
      </c>
      <c r="D77" s="51" t="s">
        <v>174</v>
      </c>
      <c r="E77" s="45">
        <v>80</v>
      </c>
    </row>
    <row r="78" ht="15.6" spans="1:5">
      <c r="A78" s="45">
        <v>81</v>
      </c>
      <c r="B78" s="64" t="s">
        <v>175</v>
      </c>
      <c r="C78" s="55" t="s">
        <v>176</v>
      </c>
      <c r="D78" s="51" t="s">
        <v>177</v>
      </c>
      <c r="E78" s="45">
        <v>81</v>
      </c>
    </row>
    <row r="79" ht="15.6" spans="1:5">
      <c r="A79" s="45">
        <v>82</v>
      </c>
      <c r="B79" s="64" t="s">
        <v>178</v>
      </c>
      <c r="C79" s="51" t="s">
        <v>179</v>
      </c>
      <c r="D79" s="55" t="s">
        <v>154</v>
      </c>
      <c r="E79" s="45">
        <v>82</v>
      </c>
    </row>
    <row r="80" ht="15.6" spans="1:5">
      <c r="A80" s="45">
        <v>83</v>
      </c>
      <c r="B80" s="64" t="s">
        <v>180</v>
      </c>
      <c r="C80" s="55" t="s">
        <v>151</v>
      </c>
      <c r="D80" s="51" t="s">
        <v>177</v>
      </c>
      <c r="E80" s="45">
        <v>83</v>
      </c>
    </row>
    <row r="81" ht="15.6" spans="1:5">
      <c r="A81" s="45">
        <v>84</v>
      </c>
      <c r="B81" s="64" t="s">
        <v>181</v>
      </c>
      <c r="C81" s="51" t="s">
        <v>182</v>
      </c>
      <c r="D81" s="55" t="s">
        <v>183</v>
      </c>
      <c r="E81" s="45">
        <v>84</v>
      </c>
    </row>
    <row r="82" ht="15.6" spans="1:5">
      <c r="A82" s="45">
        <v>85</v>
      </c>
      <c r="B82" s="67" t="s">
        <v>184</v>
      </c>
      <c r="C82" s="68" t="s">
        <v>185</v>
      </c>
      <c r="D82" s="68" t="s">
        <v>186</v>
      </c>
      <c r="E82" s="45">
        <v>85</v>
      </c>
    </row>
    <row r="83" spans="1:5">
      <c r="A83" s="45">
        <v>86</v>
      </c>
      <c r="B83" s="69"/>
      <c r="C83" s="69"/>
      <c r="D83" s="69"/>
      <c r="E83" s="45">
        <v>86</v>
      </c>
    </row>
    <row r="84" spans="1:5">
      <c r="A84" s="45">
        <v>87</v>
      </c>
      <c r="B84" s="69"/>
      <c r="C84" s="69"/>
      <c r="D84" s="69"/>
      <c r="E84" s="45">
        <v>87</v>
      </c>
    </row>
    <row r="85" ht="15.6" spans="1:5">
      <c r="A85" s="45">
        <v>88</v>
      </c>
      <c r="B85" s="70" t="s">
        <v>187</v>
      </c>
      <c r="C85" s="51" t="s">
        <v>188</v>
      </c>
      <c r="D85" s="51" t="s">
        <v>42</v>
      </c>
      <c r="E85" s="45">
        <v>88</v>
      </c>
    </row>
    <row r="86" ht="15.6" spans="1:5">
      <c r="A86" s="45">
        <v>89</v>
      </c>
      <c r="B86" s="51" t="s">
        <v>189</v>
      </c>
      <c r="C86" s="51" t="s">
        <v>190</v>
      </c>
      <c r="D86" s="51" t="s">
        <v>191</v>
      </c>
      <c r="E86" s="45">
        <v>89</v>
      </c>
    </row>
    <row r="87" ht="15.6" spans="1:5">
      <c r="A87" s="45">
        <v>90</v>
      </c>
      <c r="B87" s="71" t="s">
        <v>192</v>
      </c>
      <c r="C87" s="72" t="s">
        <v>193</v>
      </c>
      <c r="D87" s="51" t="s">
        <v>157</v>
      </c>
      <c r="E87" s="45">
        <v>90</v>
      </c>
    </row>
    <row r="88" ht="15.6" spans="1:5">
      <c r="A88" s="45">
        <v>91</v>
      </c>
      <c r="B88" s="73" t="s">
        <v>194</v>
      </c>
      <c r="C88" s="74" t="s">
        <v>195</v>
      </c>
      <c r="D88" s="73" t="s">
        <v>157</v>
      </c>
      <c r="E88" s="45">
        <v>91</v>
      </c>
    </row>
    <row r="89" ht="15.6" spans="1:5">
      <c r="A89" s="45">
        <v>92</v>
      </c>
      <c r="B89" s="73" t="s">
        <v>196</v>
      </c>
      <c r="C89" s="74" t="s">
        <v>197</v>
      </c>
      <c r="D89" s="73" t="s">
        <v>198</v>
      </c>
      <c r="E89" s="45">
        <v>92</v>
      </c>
    </row>
    <row r="90" ht="15.6" spans="1:5">
      <c r="A90" s="45">
        <v>93</v>
      </c>
      <c r="B90" s="51" t="s">
        <v>199</v>
      </c>
      <c r="C90" s="51" t="s">
        <v>200</v>
      </c>
      <c r="D90" s="51" t="s">
        <v>201</v>
      </c>
      <c r="E90" s="45">
        <v>93</v>
      </c>
    </row>
    <row r="91" ht="15.6" spans="1:5">
      <c r="A91" s="45">
        <v>94</v>
      </c>
      <c r="B91" s="55" t="s">
        <v>202</v>
      </c>
      <c r="C91" s="51" t="s">
        <v>203</v>
      </c>
      <c r="D91" s="55" t="s">
        <v>204</v>
      </c>
      <c r="E91" s="45">
        <v>94</v>
      </c>
    </row>
    <row r="92" ht="15.6" spans="1:5">
      <c r="A92" s="45">
        <v>95</v>
      </c>
      <c r="B92" s="71" t="s">
        <v>205</v>
      </c>
      <c r="C92" s="72" t="s">
        <v>206</v>
      </c>
      <c r="D92" s="51" t="s">
        <v>207</v>
      </c>
      <c r="E92" s="45">
        <v>95</v>
      </c>
    </row>
    <row r="93" ht="15.6" spans="1:5">
      <c r="A93" s="45">
        <v>96</v>
      </c>
      <c r="B93" s="55" t="s">
        <v>208</v>
      </c>
      <c r="C93" s="51" t="s">
        <v>209</v>
      </c>
      <c r="D93" s="55" t="s">
        <v>210</v>
      </c>
      <c r="E93" s="45">
        <v>96</v>
      </c>
    </row>
    <row r="94" ht="15.6" spans="1:5">
      <c r="A94" s="45">
        <v>97</v>
      </c>
      <c r="B94" s="70" t="s">
        <v>211</v>
      </c>
      <c r="C94" s="51" t="s">
        <v>212</v>
      </c>
      <c r="D94" s="51" t="s">
        <v>210</v>
      </c>
      <c r="E94" s="45">
        <v>97</v>
      </c>
    </row>
    <row r="95" ht="15.6" spans="1:5">
      <c r="A95" s="45">
        <v>98</v>
      </c>
      <c r="B95" s="75" t="s">
        <v>213</v>
      </c>
      <c r="C95" s="76" t="s">
        <v>214</v>
      </c>
      <c r="D95" s="76" t="s">
        <v>154</v>
      </c>
      <c r="E95" s="45">
        <v>98</v>
      </c>
    </row>
    <row r="96" ht="15.6" spans="1:5">
      <c r="A96" s="45">
        <v>99</v>
      </c>
      <c r="B96" s="64" t="s">
        <v>215</v>
      </c>
      <c r="C96" s="51" t="s">
        <v>216</v>
      </c>
      <c r="D96" s="55" t="s">
        <v>217</v>
      </c>
      <c r="E96" s="45">
        <v>99</v>
      </c>
    </row>
    <row r="97" ht="15.6" spans="1:5">
      <c r="A97" s="45">
        <v>100</v>
      </c>
      <c r="B97" s="64" t="s">
        <v>218</v>
      </c>
      <c r="C97" s="51" t="s">
        <v>219</v>
      </c>
      <c r="D97" s="55" t="s">
        <v>217</v>
      </c>
      <c r="E97" s="45">
        <v>100</v>
      </c>
    </row>
    <row r="98" ht="15.6" spans="1:5">
      <c r="A98" s="45">
        <v>101</v>
      </c>
      <c r="B98" s="70" t="s">
        <v>220</v>
      </c>
      <c r="C98" s="51" t="s">
        <v>188</v>
      </c>
      <c r="D98" s="51" t="s">
        <v>221</v>
      </c>
      <c r="E98" s="45">
        <v>101</v>
      </c>
    </row>
    <row r="99" ht="15.6" spans="1:5">
      <c r="A99" s="45">
        <v>102</v>
      </c>
      <c r="B99" s="70" t="s">
        <v>222</v>
      </c>
      <c r="C99" s="51" t="s">
        <v>188</v>
      </c>
      <c r="D99" s="51" t="s">
        <v>223</v>
      </c>
      <c r="E99" s="45">
        <v>102</v>
      </c>
    </row>
    <row r="100" ht="31.2" spans="1:5">
      <c r="A100" s="45">
        <v>103</v>
      </c>
      <c r="B100" s="70" t="s">
        <v>224</v>
      </c>
      <c r="C100" s="51" t="s">
        <v>225</v>
      </c>
      <c r="D100" s="51" t="s">
        <v>226</v>
      </c>
      <c r="E100" s="45">
        <v>103</v>
      </c>
    </row>
    <row r="101" ht="15.6" spans="1:5">
      <c r="A101" s="45">
        <v>104</v>
      </c>
      <c r="B101" s="70" t="s">
        <v>227</v>
      </c>
      <c r="C101" s="51" t="s">
        <v>228</v>
      </c>
      <c r="D101" s="51" t="s">
        <v>229</v>
      </c>
      <c r="E101" s="45">
        <v>104</v>
      </c>
    </row>
    <row r="102" ht="15.6" spans="1:5">
      <c r="A102" s="45">
        <v>105</v>
      </c>
      <c r="B102" s="70" t="s">
        <v>230</v>
      </c>
      <c r="C102" s="51" t="s">
        <v>228</v>
      </c>
      <c r="D102" s="51" t="s">
        <v>231</v>
      </c>
      <c r="E102" s="45">
        <v>105</v>
      </c>
    </row>
    <row r="103" ht="15.6" spans="1:5">
      <c r="A103" s="45">
        <v>106</v>
      </c>
      <c r="B103" s="75" t="s">
        <v>232</v>
      </c>
      <c r="C103" s="76" t="s">
        <v>125</v>
      </c>
      <c r="D103" s="76" t="s">
        <v>210</v>
      </c>
      <c r="E103" s="45">
        <v>106</v>
      </c>
    </row>
    <row r="104" ht="15.6" spans="1:5">
      <c r="A104" s="45">
        <v>107</v>
      </c>
      <c r="B104" s="52" t="s">
        <v>233</v>
      </c>
      <c r="C104" s="51" t="s">
        <v>234</v>
      </c>
      <c r="D104" s="55" t="s">
        <v>235</v>
      </c>
      <c r="E104" s="45">
        <v>107</v>
      </c>
    </row>
    <row r="105" ht="31.2" spans="1:5">
      <c r="A105" s="45">
        <v>108</v>
      </c>
      <c r="B105" s="64" t="s">
        <v>236</v>
      </c>
      <c r="C105" s="51" t="s">
        <v>237</v>
      </c>
      <c r="D105" s="77" t="s">
        <v>238</v>
      </c>
      <c r="E105" s="45">
        <v>108</v>
      </c>
    </row>
    <row r="106" ht="15.6" spans="1:5">
      <c r="A106" s="45">
        <v>109</v>
      </c>
      <c r="B106" s="52" t="s">
        <v>239</v>
      </c>
      <c r="C106" s="51" t="s">
        <v>240</v>
      </c>
      <c r="D106" s="55" t="s">
        <v>241</v>
      </c>
      <c r="E106" s="45">
        <v>109</v>
      </c>
    </row>
    <row r="107" ht="15.6" spans="1:5">
      <c r="A107" s="45">
        <v>110</v>
      </c>
      <c r="B107" s="64" t="s">
        <v>242</v>
      </c>
      <c r="C107" s="51" t="s">
        <v>243</v>
      </c>
      <c r="D107" s="77" t="s">
        <v>244</v>
      </c>
      <c r="E107" s="45">
        <v>110</v>
      </c>
    </row>
    <row r="108" ht="31.2" spans="1:5">
      <c r="A108" s="45">
        <v>111</v>
      </c>
      <c r="B108" s="52" t="s">
        <v>245</v>
      </c>
      <c r="C108" s="51" t="s">
        <v>246</v>
      </c>
      <c r="D108" s="55" t="s">
        <v>247</v>
      </c>
      <c r="E108" s="45">
        <v>111</v>
      </c>
    </row>
    <row r="109" ht="15.6" spans="1:5">
      <c r="A109" s="45">
        <v>112</v>
      </c>
      <c r="B109" s="73" t="s">
        <v>248</v>
      </c>
      <c r="C109" s="74" t="s">
        <v>249</v>
      </c>
      <c r="D109" s="73" t="s">
        <v>12</v>
      </c>
      <c r="E109" s="45">
        <v>112</v>
      </c>
    </row>
    <row r="110" ht="15.6" spans="1:5">
      <c r="A110" s="45">
        <v>113</v>
      </c>
      <c r="B110" s="52"/>
      <c r="C110" s="51" t="s">
        <v>250</v>
      </c>
      <c r="D110" s="55"/>
      <c r="E110" s="45">
        <v>113</v>
      </c>
    </row>
    <row r="111" ht="15.6" spans="1:5">
      <c r="A111" s="45">
        <v>114</v>
      </c>
      <c r="B111" s="73" t="s">
        <v>251</v>
      </c>
      <c r="C111" s="74" t="s">
        <v>249</v>
      </c>
      <c r="D111" s="73" t="s">
        <v>12</v>
      </c>
      <c r="E111" s="45">
        <v>114</v>
      </c>
    </row>
    <row r="112" ht="15.6" spans="1:5">
      <c r="A112" s="45">
        <v>115</v>
      </c>
      <c r="B112" s="52" t="s">
        <v>252</v>
      </c>
      <c r="C112" s="51" t="s">
        <v>253</v>
      </c>
      <c r="D112" s="77" t="s">
        <v>254</v>
      </c>
      <c r="E112" s="45">
        <v>115</v>
      </c>
    </row>
    <row r="113" ht="15.6" spans="1:5">
      <c r="A113" s="45">
        <v>116</v>
      </c>
      <c r="B113" s="70" t="s">
        <v>255</v>
      </c>
      <c r="C113" s="51" t="s">
        <v>256</v>
      </c>
      <c r="D113" s="51" t="s">
        <v>257</v>
      </c>
      <c r="E113" s="45">
        <v>116</v>
      </c>
    </row>
    <row r="114" ht="15.6" spans="1:5">
      <c r="A114" s="45">
        <v>117</v>
      </c>
      <c r="B114" s="70" t="s">
        <v>258</v>
      </c>
      <c r="C114" s="51" t="s">
        <v>259</v>
      </c>
      <c r="D114" s="51" t="s">
        <v>12</v>
      </c>
      <c r="E114" s="45">
        <v>117</v>
      </c>
    </row>
    <row r="115" ht="31.2" spans="1:5">
      <c r="A115" s="45">
        <v>118</v>
      </c>
      <c r="B115" s="70" t="s">
        <v>260</v>
      </c>
      <c r="C115" s="51" t="s">
        <v>261</v>
      </c>
      <c r="D115" s="51" t="s">
        <v>262</v>
      </c>
      <c r="E115" s="45">
        <v>118</v>
      </c>
    </row>
    <row r="116" ht="15.6" spans="1:5">
      <c r="A116" s="45">
        <v>119</v>
      </c>
      <c r="B116" s="75" t="s">
        <v>263</v>
      </c>
      <c r="C116" s="76" t="s">
        <v>35</v>
      </c>
      <c r="D116" s="76" t="s">
        <v>264</v>
      </c>
      <c r="E116" s="45">
        <v>119</v>
      </c>
    </row>
    <row r="117" ht="15.6" spans="1:5">
      <c r="A117" s="45">
        <v>120</v>
      </c>
      <c r="B117" s="64" t="s">
        <v>265</v>
      </c>
      <c r="C117" s="76" t="s">
        <v>266</v>
      </c>
      <c r="D117" s="51" t="s">
        <v>267</v>
      </c>
      <c r="E117" s="45">
        <v>120</v>
      </c>
    </row>
    <row r="118" ht="15.6" spans="1:5">
      <c r="A118" s="45">
        <v>121</v>
      </c>
      <c r="B118" s="75" t="s">
        <v>268</v>
      </c>
      <c r="C118" s="76" t="s">
        <v>269</v>
      </c>
      <c r="D118" s="76" t="s">
        <v>270</v>
      </c>
      <c r="E118" s="45">
        <v>121</v>
      </c>
    </row>
    <row r="119" ht="15.6" spans="1:5">
      <c r="A119" s="45">
        <v>122</v>
      </c>
      <c r="B119" s="70" t="s">
        <v>271</v>
      </c>
      <c r="C119" s="51" t="s">
        <v>272</v>
      </c>
      <c r="D119" s="76" t="s">
        <v>273</v>
      </c>
      <c r="E119" s="45">
        <v>122</v>
      </c>
    </row>
    <row r="120" ht="15.6" spans="1:5">
      <c r="A120" s="45">
        <v>123</v>
      </c>
      <c r="B120" s="73" t="s">
        <v>274</v>
      </c>
      <c r="C120" s="74" t="s">
        <v>275</v>
      </c>
      <c r="D120" s="73" t="s">
        <v>276</v>
      </c>
      <c r="E120" s="45">
        <v>123</v>
      </c>
    </row>
    <row r="121" ht="15.6" spans="1:5">
      <c r="A121" s="45">
        <v>124</v>
      </c>
      <c r="B121" s="73" t="s">
        <v>277</v>
      </c>
      <c r="C121" s="74" t="s">
        <v>275</v>
      </c>
      <c r="D121" s="73" t="s">
        <v>276</v>
      </c>
      <c r="E121" s="45">
        <v>124</v>
      </c>
    </row>
    <row r="122" ht="15.6" spans="1:5">
      <c r="A122" s="45">
        <v>125</v>
      </c>
      <c r="B122" s="51" t="s">
        <v>278</v>
      </c>
      <c r="C122" s="51" t="s">
        <v>279</v>
      </c>
      <c r="D122" s="51" t="s">
        <v>280</v>
      </c>
      <c r="E122" s="45">
        <v>125</v>
      </c>
    </row>
    <row r="123" ht="15.6" spans="1:5">
      <c r="A123" s="45">
        <v>126</v>
      </c>
      <c r="B123" s="73" t="s">
        <v>281</v>
      </c>
      <c r="C123" s="74" t="s">
        <v>282</v>
      </c>
      <c r="D123" s="73" t="s">
        <v>283</v>
      </c>
      <c r="E123" s="45">
        <v>126</v>
      </c>
    </row>
    <row r="124" ht="15.6" spans="1:5">
      <c r="A124" s="45">
        <v>127</v>
      </c>
      <c r="B124" s="55" t="s">
        <v>284</v>
      </c>
      <c r="C124" s="51" t="s">
        <v>225</v>
      </c>
      <c r="D124" s="55" t="s">
        <v>285</v>
      </c>
      <c r="E124" s="45">
        <v>127</v>
      </c>
    </row>
    <row r="125" ht="15.6" spans="1:5">
      <c r="A125" s="45">
        <v>128</v>
      </c>
      <c r="B125" s="52" t="s">
        <v>286</v>
      </c>
      <c r="C125" s="52" t="s">
        <v>287</v>
      </c>
      <c r="D125" s="52" t="s">
        <v>70</v>
      </c>
      <c r="E125" s="45">
        <v>128</v>
      </c>
    </row>
    <row r="126" ht="15.6" spans="1:5">
      <c r="A126" s="45">
        <v>129</v>
      </c>
      <c r="B126" s="71" t="s">
        <v>288</v>
      </c>
      <c r="C126" s="72" t="s">
        <v>289</v>
      </c>
      <c r="D126" s="51" t="s">
        <v>70</v>
      </c>
      <c r="E126" s="45">
        <v>129</v>
      </c>
    </row>
    <row r="127" ht="15.6" spans="1:5">
      <c r="A127" s="45">
        <v>130</v>
      </c>
      <c r="B127" s="71" t="s">
        <v>290</v>
      </c>
      <c r="C127" s="68" t="s">
        <v>289</v>
      </c>
      <c r="D127" s="71" t="s">
        <v>70</v>
      </c>
      <c r="E127" s="45">
        <v>130</v>
      </c>
    </row>
    <row r="128" ht="15.6" spans="1:5">
      <c r="A128" s="45">
        <v>131</v>
      </c>
      <c r="B128" s="71" t="s">
        <v>291</v>
      </c>
      <c r="C128" s="68" t="s">
        <v>292</v>
      </c>
      <c r="D128" s="71" t="s">
        <v>70</v>
      </c>
      <c r="E128" s="45">
        <v>131</v>
      </c>
    </row>
    <row r="129" ht="15.6" spans="1:5">
      <c r="A129" s="45">
        <v>132</v>
      </c>
      <c r="B129" s="73" t="s">
        <v>293</v>
      </c>
      <c r="C129" s="74" t="s">
        <v>294</v>
      </c>
      <c r="D129" s="73" t="s">
        <v>70</v>
      </c>
      <c r="E129" s="45">
        <v>132</v>
      </c>
    </row>
    <row r="130" ht="15.6" spans="1:5">
      <c r="A130" s="45">
        <v>133</v>
      </c>
      <c r="B130" s="73" t="s">
        <v>295</v>
      </c>
      <c r="C130" s="74" t="s">
        <v>256</v>
      </c>
      <c r="D130" s="73" t="s">
        <v>70</v>
      </c>
      <c r="E130" s="45">
        <v>133</v>
      </c>
    </row>
    <row r="131" ht="15.6" spans="1:5">
      <c r="A131" s="45">
        <v>134</v>
      </c>
      <c r="B131" s="78" t="s">
        <v>296</v>
      </c>
      <c r="C131" s="74" t="s">
        <v>297</v>
      </c>
      <c r="D131" s="73" t="s">
        <v>70</v>
      </c>
      <c r="E131" s="45">
        <v>134</v>
      </c>
    </row>
    <row r="132" ht="15.6" spans="1:5">
      <c r="A132" s="45">
        <v>135</v>
      </c>
      <c r="B132" s="55" t="s">
        <v>298</v>
      </c>
      <c r="C132" s="51" t="s">
        <v>206</v>
      </c>
      <c r="D132" s="55" t="s">
        <v>92</v>
      </c>
      <c r="E132" s="45">
        <v>135</v>
      </c>
    </row>
    <row r="133" ht="15.6" spans="1:5">
      <c r="A133" s="45">
        <v>136</v>
      </c>
      <c r="B133" s="55" t="s">
        <v>299</v>
      </c>
      <c r="C133" s="51" t="s">
        <v>300</v>
      </c>
      <c r="D133" s="55" t="s">
        <v>92</v>
      </c>
      <c r="E133" s="45">
        <v>136</v>
      </c>
    </row>
    <row r="134" ht="15.6" spans="1:5">
      <c r="A134" s="45">
        <v>137</v>
      </c>
      <c r="B134" s="55" t="s">
        <v>301</v>
      </c>
      <c r="C134" s="51" t="s">
        <v>302</v>
      </c>
      <c r="D134" s="55" t="s">
        <v>303</v>
      </c>
      <c r="E134" s="45">
        <v>137</v>
      </c>
    </row>
    <row r="135" ht="15.6" spans="1:5">
      <c r="A135" s="45">
        <v>138</v>
      </c>
      <c r="B135" s="55" t="s">
        <v>304</v>
      </c>
      <c r="C135" s="51" t="s">
        <v>305</v>
      </c>
      <c r="D135" s="55" t="s">
        <v>92</v>
      </c>
      <c r="E135" s="45">
        <v>138</v>
      </c>
    </row>
    <row r="136" ht="15.6" spans="1:5">
      <c r="A136" s="45">
        <v>139</v>
      </c>
      <c r="B136" s="55" t="s">
        <v>306</v>
      </c>
      <c r="C136" s="51" t="s">
        <v>195</v>
      </c>
      <c r="D136" s="55" t="s">
        <v>92</v>
      </c>
      <c r="E136" s="45">
        <v>139</v>
      </c>
    </row>
    <row r="137" ht="15.6" spans="1:5">
      <c r="A137" s="45">
        <v>140</v>
      </c>
      <c r="B137" s="55" t="s">
        <v>307</v>
      </c>
      <c r="C137" s="51" t="s">
        <v>308</v>
      </c>
      <c r="D137" s="55" t="s">
        <v>309</v>
      </c>
      <c r="E137" s="45">
        <v>140</v>
      </c>
    </row>
    <row r="138" ht="15.6" spans="1:5">
      <c r="A138" s="45">
        <v>141</v>
      </c>
      <c r="B138" s="55" t="s">
        <v>310</v>
      </c>
      <c r="C138" s="51" t="s">
        <v>311</v>
      </c>
      <c r="D138" s="55" t="s">
        <v>312</v>
      </c>
      <c r="E138" s="45">
        <v>141</v>
      </c>
    </row>
    <row r="139" ht="15.6" spans="1:5">
      <c r="A139" s="45">
        <v>142</v>
      </c>
      <c r="B139" s="55" t="s">
        <v>313</v>
      </c>
      <c r="C139" s="51" t="s">
        <v>314</v>
      </c>
      <c r="D139" s="55" t="s">
        <v>315</v>
      </c>
      <c r="E139" s="45">
        <v>142</v>
      </c>
    </row>
    <row r="140" ht="15.6" spans="1:5">
      <c r="A140" s="45">
        <v>143</v>
      </c>
      <c r="B140" s="55" t="s">
        <v>316</v>
      </c>
      <c r="C140" s="51" t="s">
        <v>317</v>
      </c>
      <c r="D140" s="55" t="s">
        <v>315</v>
      </c>
      <c r="E140" s="45">
        <v>143</v>
      </c>
    </row>
    <row r="141" ht="15.6" spans="1:5">
      <c r="A141" s="45">
        <v>144</v>
      </c>
      <c r="B141" s="55" t="s">
        <v>318</v>
      </c>
      <c r="C141" s="51" t="s">
        <v>319</v>
      </c>
      <c r="D141" s="55" t="s">
        <v>285</v>
      </c>
      <c r="E141" s="45">
        <v>144</v>
      </c>
    </row>
    <row r="142" ht="15.6" spans="1:5">
      <c r="A142" s="45">
        <v>145</v>
      </c>
      <c r="B142" s="55" t="s">
        <v>320</v>
      </c>
      <c r="C142" s="51" t="s">
        <v>321</v>
      </c>
      <c r="D142" s="55" t="s">
        <v>322</v>
      </c>
      <c r="E142" s="45">
        <v>145</v>
      </c>
    </row>
    <row r="143" ht="15.6" spans="1:5">
      <c r="A143" s="45">
        <v>146</v>
      </c>
      <c r="B143" s="55" t="s">
        <v>323</v>
      </c>
      <c r="C143" s="51" t="s">
        <v>324</v>
      </c>
      <c r="D143" s="55" t="s">
        <v>325</v>
      </c>
      <c r="E143" s="45">
        <v>146</v>
      </c>
    </row>
    <row r="144" ht="15.6" spans="1:5">
      <c r="A144" s="45">
        <v>147</v>
      </c>
      <c r="B144" s="78" t="s">
        <v>326</v>
      </c>
      <c r="C144" s="74" t="s">
        <v>327</v>
      </c>
      <c r="D144" s="73" t="s">
        <v>328</v>
      </c>
      <c r="E144" s="45">
        <v>147</v>
      </c>
    </row>
    <row r="145" spans="1:5">
      <c r="A145" s="45">
        <v>148</v>
      </c>
      <c r="B145" s="79" t="s">
        <v>329</v>
      </c>
      <c r="C145" s="79" t="s">
        <v>330</v>
      </c>
      <c r="D145" s="79" t="s">
        <v>331</v>
      </c>
      <c r="E145" s="45">
        <v>148</v>
      </c>
    </row>
    <row r="146" spans="1:5">
      <c r="A146" s="45">
        <v>149</v>
      </c>
      <c r="B146" s="80" t="s">
        <v>332</v>
      </c>
      <c r="C146" s="79" t="s">
        <v>333</v>
      </c>
      <c r="D146" s="79" t="s">
        <v>334</v>
      </c>
      <c r="E146" s="45">
        <v>149</v>
      </c>
    </row>
    <row r="147" spans="1:5">
      <c r="A147" s="45">
        <v>150</v>
      </c>
      <c r="B147" s="80" t="s">
        <v>335</v>
      </c>
      <c r="C147" s="79" t="s">
        <v>336</v>
      </c>
      <c r="D147" s="79" t="s">
        <v>334</v>
      </c>
      <c r="E147" s="45">
        <v>150</v>
      </c>
    </row>
    <row r="148" spans="1:5">
      <c r="A148" s="45">
        <v>151</v>
      </c>
      <c r="B148" s="79" t="s">
        <v>337</v>
      </c>
      <c r="C148" s="79" t="s">
        <v>338</v>
      </c>
      <c r="D148" s="79" t="s">
        <v>334</v>
      </c>
      <c r="E148" s="45">
        <v>151</v>
      </c>
    </row>
    <row r="149" spans="1:5">
      <c r="A149" s="45">
        <v>152</v>
      </c>
      <c r="B149" s="79" t="s">
        <v>339</v>
      </c>
      <c r="C149" s="79" t="s">
        <v>340</v>
      </c>
      <c r="D149" s="79" t="s">
        <v>334</v>
      </c>
      <c r="E149" s="45">
        <v>152</v>
      </c>
    </row>
    <row r="150" spans="1:5">
      <c r="A150" s="45">
        <v>153</v>
      </c>
      <c r="B150" s="80" t="s">
        <v>341</v>
      </c>
      <c r="C150" s="79" t="s">
        <v>342</v>
      </c>
      <c r="D150" s="79" t="s">
        <v>70</v>
      </c>
      <c r="E150" s="45">
        <v>153</v>
      </c>
    </row>
    <row r="151" spans="1:5">
      <c r="A151" s="45">
        <v>154</v>
      </c>
      <c r="B151" s="79" t="s">
        <v>343</v>
      </c>
      <c r="C151" s="79" t="s">
        <v>344</v>
      </c>
      <c r="D151" s="79" t="s">
        <v>345</v>
      </c>
      <c r="E151" s="45">
        <v>154</v>
      </c>
    </row>
    <row r="152" spans="1:5">
      <c r="A152" s="45">
        <v>155</v>
      </c>
      <c r="B152" s="79" t="s">
        <v>346</v>
      </c>
      <c r="C152" s="79" t="s">
        <v>347</v>
      </c>
      <c r="D152" s="79" t="s">
        <v>348</v>
      </c>
      <c r="E152" s="45">
        <v>155</v>
      </c>
    </row>
    <row r="153" spans="1:5">
      <c r="A153" s="45">
        <v>156</v>
      </c>
      <c r="B153" s="79" t="s">
        <v>349</v>
      </c>
      <c r="C153" s="79" t="s">
        <v>350</v>
      </c>
      <c r="D153" s="79" t="s">
        <v>351</v>
      </c>
      <c r="E153" s="45">
        <v>156</v>
      </c>
    </row>
    <row r="154" spans="1:5">
      <c r="A154" s="45">
        <v>157</v>
      </c>
      <c r="B154" s="81" t="s">
        <v>352</v>
      </c>
      <c r="C154" s="81" t="s">
        <v>347</v>
      </c>
      <c r="D154" s="81" t="s">
        <v>235</v>
      </c>
      <c r="E154" s="45">
        <v>157</v>
      </c>
    </row>
    <row r="155" spans="1:5">
      <c r="A155" s="45">
        <v>158</v>
      </c>
      <c r="B155" s="82" t="s">
        <v>353</v>
      </c>
      <c r="C155" s="82" t="s">
        <v>354</v>
      </c>
      <c r="D155" s="82" t="s">
        <v>355</v>
      </c>
      <c r="E155" s="45">
        <v>158</v>
      </c>
    </row>
    <row r="156" spans="1:5">
      <c r="A156" s="45">
        <v>159</v>
      </c>
      <c r="B156" s="79" t="s">
        <v>356</v>
      </c>
      <c r="C156" s="79" t="s">
        <v>347</v>
      </c>
      <c r="D156" s="79" t="s">
        <v>355</v>
      </c>
      <c r="E156" s="45">
        <v>159</v>
      </c>
    </row>
    <row r="157" spans="1:5">
      <c r="A157" s="45">
        <v>160</v>
      </c>
      <c r="B157" s="79" t="s">
        <v>357</v>
      </c>
      <c r="C157" s="79" t="s">
        <v>330</v>
      </c>
      <c r="D157" s="79" t="s">
        <v>358</v>
      </c>
      <c r="E157" s="45">
        <v>160</v>
      </c>
    </row>
    <row r="158" spans="1:5">
      <c r="A158" s="45">
        <v>161</v>
      </c>
      <c r="B158" s="79" t="s">
        <v>359</v>
      </c>
      <c r="C158" s="79" t="s">
        <v>360</v>
      </c>
      <c r="D158" s="79" t="s">
        <v>361</v>
      </c>
      <c r="E158" s="45">
        <v>161</v>
      </c>
    </row>
    <row r="159" spans="1:5">
      <c r="A159" s="45">
        <v>162</v>
      </c>
      <c r="B159" s="81" t="s">
        <v>362</v>
      </c>
      <c r="C159" s="81" t="s">
        <v>363</v>
      </c>
      <c r="D159" s="81" t="s">
        <v>364</v>
      </c>
      <c r="E159" s="45">
        <v>162</v>
      </c>
    </row>
    <row r="160" spans="1:5">
      <c r="A160" s="45">
        <v>163</v>
      </c>
      <c r="B160" s="79" t="s">
        <v>365</v>
      </c>
      <c r="C160" s="79" t="s">
        <v>366</v>
      </c>
      <c r="D160" s="79" t="s">
        <v>367</v>
      </c>
      <c r="E160" s="45">
        <v>163</v>
      </c>
    </row>
    <row r="161" spans="1:5">
      <c r="A161" s="45">
        <v>164</v>
      </c>
      <c r="B161" s="79" t="s">
        <v>368</v>
      </c>
      <c r="C161" s="79" t="s">
        <v>369</v>
      </c>
      <c r="D161" s="79" t="s">
        <v>370</v>
      </c>
      <c r="E161" s="45">
        <v>164</v>
      </c>
    </row>
    <row r="162" spans="1:5">
      <c r="A162" s="45">
        <v>165</v>
      </c>
      <c r="B162" s="79" t="s">
        <v>371</v>
      </c>
      <c r="C162" s="79" t="s">
        <v>372</v>
      </c>
      <c r="D162" s="79" t="s">
        <v>373</v>
      </c>
      <c r="E162" s="45">
        <v>165</v>
      </c>
    </row>
    <row r="163" spans="1:5">
      <c r="A163" s="45">
        <v>166</v>
      </c>
      <c r="B163" s="79" t="s">
        <v>374</v>
      </c>
      <c r="C163" s="79" t="s">
        <v>375</v>
      </c>
      <c r="D163" s="79" t="s">
        <v>86</v>
      </c>
      <c r="E163" s="45">
        <v>166</v>
      </c>
    </row>
    <row r="164" ht="28.8" spans="1:5">
      <c r="A164" s="45">
        <v>167</v>
      </c>
      <c r="B164" s="79" t="s">
        <v>376</v>
      </c>
      <c r="C164" s="79" t="s">
        <v>377</v>
      </c>
      <c r="D164" s="79" t="s">
        <v>86</v>
      </c>
      <c r="E164" s="45">
        <v>167</v>
      </c>
    </row>
    <row r="165" spans="1:5">
      <c r="A165" s="45">
        <v>168</v>
      </c>
      <c r="B165" s="79" t="s">
        <v>378</v>
      </c>
      <c r="C165" s="79" t="s">
        <v>379</v>
      </c>
      <c r="D165" s="79" t="s">
        <v>86</v>
      </c>
      <c r="E165" s="45">
        <v>168</v>
      </c>
    </row>
    <row r="166" spans="1:5">
      <c r="A166" s="45">
        <v>169</v>
      </c>
      <c r="B166" s="79" t="s">
        <v>380</v>
      </c>
      <c r="C166" s="79" t="s">
        <v>372</v>
      </c>
      <c r="D166" s="79" t="s">
        <v>86</v>
      </c>
      <c r="E166" s="45">
        <v>169</v>
      </c>
    </row>
    <row r="167" ht="15.6" spans="1:5">
      <c r="A167" s="45">
        <v>170</v>
      </c>
      <c r="B167" s="64" t="s">
        <v>381</v>
      </c>
      <c r="C167" s="83" t="s">
        <v>382</v>
      </c>
      <c r="D167" s="77" t="s">
        <v>273</v>
      </c>
      <c r="E167" s="45">
        <v>170</v>
      </c>
    </row>
    <row r="168" ht="15.6" spans="1:5">
      <c r="A168" s="45">
        <v>171</v>
      </c>
      <c r="B168" s="75" t="s">
        <v>383</v>
      </c>
      <c r="C168" s="76" t="s">
        <v>384</v>
      </c>
      <c r="D168" s="76" t="s">
        <v>385</v>
      </c>
      <c r="E168" s="45">
        <v>171</v>
      </c>
    </row>
    <row r="169" ht="15.6" spans="1:5">
      <c r="A169" s="45">
        <v>172</v>
      </c>
      <c r="B169" s="70" t="s">
        <v>386</v>
      </c>
      <c r="C169" s="51" t="s">
        <v>387</v>
      </c>
      <c r="D169" s="51" t="s">
        <v>388</v>
      </c>
      <c r="E169" s="45">
        <v>172</v>
      </c>
    </row>
    <row r="170" ht="15.6" spans="1:5">
      <c r="A170" s="45">
        <v>173</v>
      </c>
      <c r="B170" s="70" t="s">
        <v>389</v>
      </c>
      <c r="C170" s="51" t="s">
        <v>390</v>
      </c>
      <c r="D170" s="51" t="s">
        <v>391</v>
      </c>
      <c r="E170" s="45">
        <v>173</v>
      </c>
    </row>
    <row r="171" ht="15.6" spans="1:5">
      <c r="A171" s="45">
        <v>174</v>
      </c>
      <c r="B171" s="64" t="s">
        <v>392</v>
      </c>
      <c r="C171" s="51" t="s">
        <v>393</v>
      </c>
      <c r="D171" s="51" t="s">
        <v>391</v>
      </c>
      <c r="E171" s="45">
        <v>174</v>
      </c>
    </row>
    <row r="172" ht="15.6" spans="1:5">
      <c r="A172" s="45">
        <v>175</v>
      </c>
      <c r="B172" s="75" t="s">
        <v>394</v>
      </c>
      <c r="C172" s="76" t="s">
        <v>395</v>
      </c>
      <c r="D172" s="76" t="s">
        <v>396</v>
      </c>
      <c r="E172" s="45">
        <v>175</v>
      </c>
    </row>
    <row r="173" ht="15.6" spans="1:5">
      <c r="A173" s="45">
        <v>176</v>
      </c>
      <c r="B173" s="64" t="s">
        <v>397</v>
      </c>
      <c r="C173" s="51" t="s">
        <v>11</v>
      </c>
      <c r="D173" s="51" t="s">
        <v>398</v>
      </c>
      <c r="E173" s="45">
        <v>176</v>
      </c>
    </row>
    <row r="174" ht="15.6" spans="1:5">
      <c r="A174" s="45">
        <v>177</v>
      </c>
      <c r="B174" s="66" t="s">
        <v>399</v>
      </c>
      <c r="C174" s="52" t="s">
        <v>400</v>
      </c>
      <c r="D174" s="65" t="s">
        <v>401</v>
      </c>
      <c r="E174" s="45">
        <v>177</v>
      </c>
    </row>
    <row r="175" ht="15.6" spans="1:5">
      <c r="A175" s="45">
        <v>178</v>
      </c>
      <c r="B175" s="66" t="s">
        <v>402</v>
      </c>
      <c r="C175" s="52" t="s">
        <v>403</v>
      </c>
      <c r="D175" s="52" t="s">
        <v>404</v>
      </c>
      <c r="E175" s="45">
        <v>178</v>
      </c>
    </row>
    <row r="176" ht="15.6" spans="1:5">
      <c r="A176" s="45">
        <v>179</v>
      </c>
      <c r="B176" s="66" t="s">
        <v>405</v>
      </c>
      <c r="C176" s="52" t="s">
        <v>219</v>
      </c>
      <c r="D176" s="65" t="s">
        <v>406</v>
      </c>
      <c r="E176" s="45">
        <v>179</v>
      </c>
    </row>
    <row r="177" ht="15.6" spans="1:5">
      <c r="A177" s="45">
        <v>180</v>
      </c>
      <c r="B177" s="84" t="s">
        <v>407</v>
      </c>
      <c r="C177" s="85" t="s">
        <v>408</v>
      </c>
      <c r="D177" s="86" t="s">
        <v>409</v>
      </c>
      <c r="E177" s="45">
        <v>180</v>
      </c>
    </row>
    <row r="178" ht="15.6" spans="1:5">
      <c r="A178" s="45">
        <v>181</v>
      </c>
      <c r="B178" s="66" t="s">
        <v>410</v>
      </c>
      <c r="C178" s="52" t="s">
        <v>411</v>
      </c>
      <c r="D178" s="65" t="s">
        <v>183</v>
      </c>
      <c r="E178" s="45">
        <v>181</v>
      </c>
    </row>
    <row r="179" ht="15.6" spans="1:5">
      <c r="A179" s="45">
        <v>182</v>
      </c>
      <c r="B179" s="66" t="s">
        <v>412</v>
      </c>
      <c r="C179" s="52" t="s">
        <v>413</v>
      </c>
      <c r="D179" s="65" t="s">
        <v>414</v>
      </c>
      <c r="E179" s="45">
        <v>182</v>
      </c>
    </row>
    <row r="180" ht="15.6" spans="1:5">
      <c r="A180" s="45">
        <v>183</v>
      </c>
      <c r="B180" s="66" t="s">
        <v>415</v>
      </c>
      <c r="C180" s="52" t="s">
        <v>168</v>
      </c>
      <c r="D180" s="65" t="s">
        <v>416</v>
      </c>
      <c r="E180" s="45">
        <v>183</v>
      </c>
    </row>
    <row r="181" ht="15.6" spans="1:5">
      <c r="A181" s="45">
        <v>184</v>
      </c>
      <c r="B181" s="66" t="s">
        <v>417</v>
      </c>
      <c r="C181" s="52" t="s">
        <v>418</v>
      </c>
      <c r="D181" s="52" t="s">
        <v>419</v>
      </c>
      <c r="E181" s="45">
        <v>184</v>
      </c>
    </row>
    <row r="182" ht="15.6" spans="1:5">
      <c r="A182" s="45">
        <v>185</v>
      </c>
      <c r="B182" s="66" t="s">
        <v>420</v>
      </c>
      <c r="C182" s="52" t="s">
        <v>421</v>
      </c>
      <c r="D182" s="52" t="s">
        <v>422</v>
      </c>
      <c r="E182" s="45">
        <v>185</v>
      </c>
    </row>
    <row r="183" ht="15.6" spans="1:5">
      <c r="A183" s="45">
        <v>186</v>
      </c>
      <c r="B183" s="64" t="s">
        <v>423</v>
      </c>
      <c r="C183" s="52" t="s">
        <v>424</v>
      </c>
      <c r="D183" s="52" t="s">
        <v>425</v>
      </c>
      <c r="E183" s="45">
        <v>186</v>
      </c>
    </row>
    <row r="184" ht="15.6" spans="1:5">
      <c r="A184" s="45">
        <v>187</v>
      </c>
      <c r="B184" s="66" t="s">
        <v>426</v>
      </c>
      <c r="C184" s="52" t="s">
        <v>427</v>
      </c>
      <c r="D184" s="65" t="s">
        <v>425</v>
      </c>
      <c r="E184" s="45">
        <v>187</v>
      </c>
    </row>
    <row r="185" ht="15.6" spans="1:5">
      <c r="A185" s="45">
        <v>188</v>
      </c>
      <c r="B185" s="66" t="s">
        <v>428</v>
      </c>
      <c r="C185" s="52" t="s">
        <v>429</v>
      </c>
      <c r="D185" s="65" t="s">
        <v>425</v>
      </c>
      <c r="E185" s="45">
        <v>188</v>
      </c>
    </row>
    <row r="186" ht="15.6" spans="1:5">
      <c r="A186" s="45">
        <v>189</v>
      </c>
      <c r="B186" s="66" t="s">
        <v>430</v>
      </c>
      <c r="C186" s="52" t="s">
        <v>431</v>
      </c>
      <c r="D186" s="65" t="s">
        <v>432</v>
      </c>
      <c r="E186" s="45">
        <v>189</v>
      </c>
    </row>
    <row r="187" ht="15.6" spans="1:5">
      <c r="A187" s="45">
        <v>190</v>
      </c>
      <c r="B187" s="66" t="s">
        <v>433</v>
      </c>
      <c r="C187" s="52" t="s">
        <v>434</v>
      </c>
      <c r="D187" s="65" t="s">
        <v>348</v>
      </c>
      <c r="E187" s="45">
        <v>190</v>
      </c>
    </row>
    <row r="188" ht="31.2" spans="1:5">
      <c r="A188" s="45">
        <v>191</v>
      </c>
      <c r="B188" s="64" t="s">
        <v>435</v>
      </c>
      <c r="C188" s="51" t="s">
        <v>436</v>
      </c>
      <c r="D188" s="76" t="s">
        <v>437</v>
      </c>
      <c r="E188" s="45">
        <v>191</v>
      </c>
    </row>
    <row r="189" ht="15.6" spans="1:5">
      <c r="A189" s="45">
        <v>192</v>
      </c>
      <c r="B189" s="70" t="s">
        <v>438</v>
      </c>
      <c r="C189" s="51" t="s">
        <v>439</v>
      </c>
      <c r="D189" s="51" t="s">
        <v>440</v>
      </c>
      <c r="E189" s="45">
        <v>192</v>
      </c>
    </row>
    <row r="190" ht="15.6" spans="1:5">
      <c r="A190" s="45">
        <v>193</v>
      </c>
      <c r="B190" s="70" t="s">
        <v>441</v>
      </c>
      <c r="C190" s="51" t="s">
        <v>442</v>
      </c>
      <c r="D190" s="51" t="s">
        <v>70</v>
      </c>
      <c r="E190" s="45">
        <v>193</v>
      </c>
    </row>
    <row r="191" ht="15.6" spans="1:5">
      <c r="A191" s="45">
        <v>194</v>
      </c>
      <c r="B191" s="64" t="s">
        <v>443</v>
      </c>
      <c r="C191" s="51" t="s">
        <v>256</v>
      </c>
      <c r="D191" s="51" t="s">
        <v>70</v>
      </c>
      <c r="E191" s="45">
        <v>194</v>
      </c>
    </row>
    <row r="192" ht="15.6" spans="1:5">
      <c r="A192" s="45">
        <v>195</v>
      </c>
      <c r="B192" s="64" t="s">
        <v>444</v>
      </c>
      <c r="C192" s="51" t="s">
        <v>195</v>
      </c>
      <c r="D192" s="51" t="s">
        <v>70</v>
      </c>
      <c r="E192" s="45">
        <v>195</v>
      </c>
    </row>
    <row r="193" ht="15.6" spans="1:5">
      <c r="A193" s="45">
        <v>196</v>
      </c>
      <c r="B193" s="78" t="s">
        <v>445</v>
      </c>
      <c r="C193" s="74" t="s">
        <v>446</v>
      </c>
      <c r="D193" s="73" t="s">
        <v>447</v>
      </c>
      <c r="E193" s="45">
        <v>196</v>
      </c>
    </row>
    <row r="194" ht="15.6" spans="1:5">
      <c r="A194" s="45">
        <v>197</v>
      </c>
      <c r="B194" s="70" t="s">
        <v>448</v>
      </c>
      <c r="C194" s="51" t="s">
        <v>449</v>
      </c>
      <c r="D194" s="51" t="s">
        <v>92</v>
      </c>
      <c r="E194" s="45">
        <v>197</v>
      </c>
    </row>
    <row r="195" ht="15.6" spans="1:5">
      <c r="A195" s="45">
        <v>198</v>
      </c>
      <c r="B195" s="70" t="s">
        <v>450</v>
      </c>
      <c r="C195" s="51" t="s">
        <v>451</v>
      </c>
      <c r="D195" s="51" t="s">
        <v>92</v>
      </c>
      <c r="E195" s="45">
        <v>198</v>
      </c>
    </row>
    <row r="196" ht="46.8" spans="1:5">
      <c r="A196" s="45">
        <v>199</v>
      </c>
      <c r="B196" s="70" t="s">
        <v>452</v>
      </c>
      <c r="C196" s="51" t="s">
        <v>453</v>
      </c>
      <c r="D196" s="51" t="s">
        <v>454</v>
      </c>
      <c r="E196" s="45">
        <v>199</v>
      </c>
    </row>
    <row r="197" ht="15.6" spans="1:5">
      <c r="A197" s="45">
        <v>200</v>
      </c>
      <c r="B197" s="75" t="s">
        <v>455</v>
      </c>
      <c r="C197" s="76" t="s">
        <v>456</v>
      </c>
      <c r="D197" s="76" t="s">
        <v>457</v>
      </c>
      <c r="E197" s="45">
        <v>200</v>
      </c>
    </row>
    <row r="198" ht="15.6" spans="1:5">
      <c r="A198" s="45">
        <v>201</v>
      </c>
      <c r="B198" s="75" t="s">
        <v>458</v>
      </c>
      <c r="C198" s="76" t="s">
        <v>459</v>
      </c>
      <c r="D198" s="76" t="s">
        <v>210</v>
      </c>
      <c r="E198" s="45">
        <v>201</v>
      </c>
    </row>
    <row r="199" ht="15.6" spans="1:5">
      <c r="A199" s="45">
        <v>202</v>
      </c>
      <c r="B199" s="75" t="s">
        <v>460</v>
      </c>
      <c r="C199" s="76" t="s">
        <v>125</v>
      </c>
      <c r="D199" s="76" t="s">
        <v>276</v>
      </c>
      <c r="E199" s="45">
        <v>202</v>
      </c>
    </row>
    <row r="200" ht="15.6" spans="1:5">
      <c r="A200" s="45">
        <v>203</v>
      </c>
      <c r="B200" s="87" t="s">
        <v>461</v>
      </c>
      <c r="C200" s="51" t="s">
        <v>212</v>
      </c>
      <c r="D200" s="51" t="s">
        <v>462</v>
      </c>
      <c r="E200" s="45">
        <v>203</v>
      </c>
    </row>
    <row r="201" ht="15.6" spans="1:5">
      <c r="A201" s="45">
        <v>204</v>
      </c>
      <c r="B201" s="87" t="s">
        <v>463</v>
      </c>
      <c r="C201" s="51" t="s">
        <v>212</v>
      </c>
      <c r="D201" s="51" t="s">
        <v>464</v>
      </c>
      <c r="E201" s="45">
        <v>204</v>
      </c>
    </row>
    <row r="202" ht="15.6" spans="1:5">
      <c r="A202" s="45">
        <v>205</v>
      </c>
      <c r="B202" s="70" t="s">
        <v>465</v>
      </c>
      <c r="C202" s="51" t="s">
        <v>466</v>
      </c>
      <c r="D202" s="51" t="s">
        <v>388</v>
      </c>
      <c r="E202" s="45">
        <v>205</v>
      </c>
    </row>
    <row r="203" ht="15.6" spans="1:5">
      <c r="A203" s="45">
        <v>206</v>
      </c>
      <c r="B203" s="75" t="s">
        <v>467</v>
      </c>
      <c r="C203" s="76" t="s">
        <v>387</v>
      </c>
      <c r="D203" s="76" t="s">
        <v>388</v>
      </c>
      <c r="E203" s="45">
        <v>206</v>
      </c>
    </row>
    <row r="204" ht="15.6" spans="1:5">
      <c r="A204" s="45">
        <v>207</v>
      </c>
      <c r="B204" s="75" t="s">
        <v>468</v>
      </c>
      <c r="C204" s="76" t="s">
        <v>469</v>
      </c>
      <c r="D204" s="76" t="s">
        <v>388</v>
      </c>
      <c r="E204" s="45">
        <v>207</v>
      </c>
    </row>
    <row r="205" ht="15.6" spans="1:5">
      <c r="A205" s="45">
        <v>208</v>
      </c>
      <c r="B205" s="88" t="s">
        <v>470</v>
      </c>
      <c r="C205" s="89" t="s">
        <v>471</v>
      </c>
      <c r="D205" s="90" t="s">
        <v>334</v>
      </c>
      <c r="E205" s="45">
        <v>208</v>
      </c>
    </row>
    <row r="206" ht="15.6" spans="1:5">
      <c r="A206" s="45">
        <v>209</v>
      </c>
      <c r="B206" s="87" t="s">
        <v>472</v>
      </c>
      <c r="C206" s="51" t="s">
        <v>212</v>
      </c>
      <c r="D206" s="51" t="s">
        <v>473</v>
      </c>
      <c r="E206" s="45">
        <v>209</v>
      </c>
    </row>
    <row r="207" ht="15.6" spans="1:5">
      <c r="A207" s="45">
        <v>210</v>
      </c>
      <c r="B207" s="64" t="s">
        <v>474</v>
      </c>
      <c r="C207" s="51" t="s">
        <v>475</v>
      </c>
      <c r="D207" s="51" t="s">
        <v>388</v>
      </c>
      <c r="E207" s="45">
        <v>210</v>
      </c>
    </row>
    <row r="208" ht="15.6" spans="1:5">
      <c r="A208" s="45">
        <v>211</v>
      </c>
      <c r="B208" s="64" t="s">
        <v>476</v>
      </c>
      <c r="C208" s="51" t="s">
        <v>477</v>
      </c>
      <c r="D208" s="51" t="s">
        <v>388</v>
      </c>
      <c r="E208" s="45">
        <v>211</v>
      </c>
    </row>
    <row r="209" ht="15.6" spans="1:5">
      <c r="A209" s="45">
        <v>212</v>
      </c>
      <c r="B209" s="75" t="s">
        <v>478</v>
      </c>
      <c r="C209" s="76" t="s">
        <v>125</v>
      </c>
      <c r="D209" s="76" t="s">
        <v>479</v>
      </c>
      <c r="E209" s="45">
        <v>212</v>
      </c>
    </row>
    <row r="210" ht="15.6" spans="1:5">
      <c r="A210" s="45">
        <v>213</v>
      </c>
      <c r="B210" s="70" t="s">
        <v>480</v>
      </c>
      <c r="C210" s="51" t="s">
        <v>256</v>
      </c>
      <c r="D210" s="51" t="s">
        <v>481</v>
      </c>
      <c r="E210" s="45">
        <v>213</v>
      </c>
    </row>
    <row r="211" ht="15.6" spans="1:5">
      <c r="A211" s="45">
        <v>214</v>
      </c>
      <c r="B211" s="70" t="s">
        <v>482</v>
      </c>
      <c r="C211" s="51" t="s">
        <v>436</v>
      </c>
      <c r="D211" s="51" t="s">
        <v>483</v>
      </c>
      <c r="E211" s="45">
        <v>214</v>
      </c>
    </row>
    <row r="212" ht="15.6" spans="1:5">
      <c r="A212" s="45">
        <v>215</v>
      </c>
      <c r="B212" s="70" t="s">
        <v>484</v>
      </c>
      <c r="C212" s="51" t="s">
        <v>485</v>
      </c>
      <c r="D212" s="51" t="s">
        <v>348</v>
      </c>
      <c r="E212" s="45">
        <v>215</v>
      </c>
    </row>
    <row r="213" ht="31.2" spans="1:5">
      <c r="A213" s="45">
        <v>216</v>
      </c>
      <c r="B213" s="70" t="s">
        <v>486</v>
      </c>
      <c r="C213" s="51" t="s">
        <v>485</v>
      </c>
      <c r="D213" s="51" t="s">
        <v>487</v>
      </c>
      <c r="E213" s="45">
        <v>216</v>
      </c>
    </row>
    <row r="214" ht="15.6" spans="1:5">
      <c r="A214" s="45">
        <v>217</v>
      </c>
      <c r="B214" s="70" t="s">
        <v>488</v>
      </c>
      <c r="C214" s="51" t="s">
        <v>489</v>
      </c>
      <c r="D214" s="51" t="s">
        <v>315</v>
      </c>
      <c r="E214" s="45">
        <v>217</v>
      </c>
    </row>
    <row r="215" ht="15.6" spans="1:5">
      <c r="A215" s="45">
        <v>218</v>
      </c>
      <c r="B215" s="70" t="s">
        <v>490</v>
      </c>
      <c r="C215" s="51" t="s">
        <v>489</v>
      </c>
      <c r="D215" s="51" t="s">
        <v>235</v>
      </c>
      <c r="E215" s="45">
        <v>218</v>
      </c>
    </row>
    <row r="216" ht="15.6" spans="1:5">
      <c r="A216" s="45">
        <v>219</v>
      </c>
      <c r="B216" s="70" t="s">
        <v>491</v>
      </c>
      <c r="C216" s="51" t="s">
        <v>492</v>
      </c>
      <c r="D216" s="51" t="s">
        <v>388</v>
      </c>
      <c r="E216" s="45">
        <v>219</v>
      </c>
    </row>
    <row r="217" ht="15.6" spans="1:5">
      <c r="A217" s="45">
        <v>220</v>
      </c>
      <c r="B217" s="78" t="s">
        <v>493</v>
      </c>
      <c r="C217" s="74" t="s">
        <v>494</v>
      </c>
      <c r="D217" s="73" t="s">
        <v>495</v>
      </c>
      <c r="E217" s="45">
        <v>220</v>
      </c>
    </row>
    <row r="218" ht="15.6" spans="1:5">
      <c r="A218" s="45">
        <v>221</v>
      </c>
      <c r="B218" s="70" t="s">
        <v>496</v>
      </c>
      <c r="C218" s="51"/>
      <c r="D218" s="51"/>
      <c r="E218" s="45">
        <v>221</v>
      </c>
    </row>
    <row r="219" ht="15.6" spans="1:5">
      <c r="A219" s="45">
        <v>222</v>
      </c>
      <c r="B219" s="70" t="s">
        <v>497</v>
      </c>
      <c r="C219" s="51"/>
      <c r="D219" s="51"/>
      <c r="E219" s="45">
        <v>222</v>
      </c>
    </row>
    <row r="220" ht="15.6" spans="1:5">
      <c r="A220" s="45">
        <v>223</v>
      </c>
      <c r="B220" s="78" t="s">
        <v>498</v>
      </c>
      <c r="C220" s="74" t="s">
        <v>197</v>
      </c>
      <c r="D220" s="73" t="s">
        <v>499</v>
      </c>
      <c r="E220" s="45">
        <v>223</v>
      </c>
    </row>
    <row r="221" ht="15.6" spans="1:5">
      <c r="A221" s="45">
        <v>224</v>
      </c>
      <c r="B221" s="75" t="s">
        <v>458</v>
      </c>
      <c r="C221" s="76" t="s">
        <v>459</v>
      </c>
      <c r="D221" s="76" t="s">
        <v>210</v>
      </c>
      <c r="E221" s="45">
        <v>224</v>
      </c>
    </row>
    <row r="222" ht="15.6" spans="1:5">
      <c r="A222" s="45">
        <v>225</v>
      </c>
      <c r="B222" s="75" t="s">
        <v>460</v>
      </c>
      <c r="C222" s="76" t="s">
        <v>125</v>
      </c>
      <c r="D222" s="76" t="s">
        <v>276</v>
      </c>
      <c r="E222" s="45">
        <v>225</v>
      </c>
    </row>
    <row r="223" ht="15.6" spans="1:5">
      <c r="A223" s="45">
        <v>226</v>
      </c>
      <c r="B223" s="75" t="s">
        <v>500</v>
      </c>
      <c r="C223" s="76" t="s">
        <v>125</v>
      </c>
      <c r="D223" s="76" t="s">
        <v>479</v>
      </c>
      <c r="E223" s="45">
        <v>226</v>
      </c>
    </row>
  </sheetData>
  <conditionalFormatting sqref="B11">
    <cfRule type="duplicateValues" dxfId="0" priority="44"/>
  </conditionalFormatting>
  <conditionalFormatting sqref="B21">
    <cfRule type="duplicateValues" dxfId="0" priority="15"/>
  </conditionalFormatting>
  <conditionalFormatting sqref="B38">
    <cfRule type="duplicateValues" dxfId="0" priority="1"/>
  </conditionalFormatting>
  <conditionalFormatting sqref="B64">
    <cfRule type="duplicateValues" dxfId="0" priority="4"/>
  </conditionalFormatting>
  <conditionalFormatting sqref="B77">
    <cfRule type="duplicateValues" dxfId="0" priority="31"/>
  </conditionalFormatting>
  <conditionalFormatting sqref="B94">
    <cfRule type="duplicateValues" dxfId="0" priority="10"/>
  </conditionalFormatting>
  <conditionalFormatting sqref="B123">
    <cfRule type="duplicateValues" dxfId="0" priority="19"/>
  </conditionalFormatting>
  <conditionalFormatting sqref="B144">
    <cfRule type="duplicateValues" dxfId="0" priority="18"/>
  </conditionalFormatting>
  <conditionalFormatting sqref="B173">
    <cfRule type="duplicateValues" dxfId="0" priority="42"/>
  </conditionalFormatting>
  <conditionalFormatting sqref="B174">
    <cfRule type="duplicateValues" dxfId="0" priority="36"/>
  </conditionalFormatting>
  <conditionalFormatting sqref="B175">
    <cfRule type="duplicateValues" dxfId="0" priority="35"/>
  </conditionalFormatting>
  <conditionalFormatting sqref="B176">
    <cfRule type="duplicateValues" dxfId="0" priority="37"/>
  </conditionalFormatting>
  <conditionalFormatting sqref="B183">
    <cfRule type="duplicateValues" dxfId="0" priority="32"/>
  </conditionalFormatting>
  <conditionalFormatting sqref="B187">
    <cfRule type="duplicateValues" dxfId="0" priority="29"/>
  </conditionalFormatting>
  <conditionalFormatting sqref="B205">
    <cfRule type="duplicateValues" dxfId="0" priority="5"/>
  </conditionalFormatting>
  <conditionalFormatting sqref="B206">
    <cfRule type="duplicateValues" dxfId="0" priority="8"/>
  </conditionalFormatting>
  <conditionalFormatting sqref="B3:B5">
    <cfRule type="duplicateValues" dxfId="0" priority="45"/>
  </conditionalFormatting>
  <conditionalFormatting sqref="B13:B14">
    <cfRule type="duplicateValues" dxfId="0" priority="43"/>
  </conditionalFormatting>
  <conditionalFormatting sqref="B134:B135">
    <cfRule type="duplicateValues" dxfId="0" priority="24"/>
  </conditionalFormatting>
  <conditionalFormatting sqref="B200:B201">
    <cfRule type="duplicateValues" dxfId="0" priority="9"/>
  </conditionalFormatting>
  <conditionalFormatting sqref="B221:B223">
    <cfRule type="duplicateValues" dxfId="0" priority="51"/>
  </conditionalFormatting>
  <conditionalFormatting sqref="B6:B10 B12 B15">
    <cfRule type="duplicateValues" dxfId="0" priority="46"/>
  </conditionalFormatting>
  <conditionalFormatting sqref="B16 B41:B54 B57:B63">
    <cfRule type="duplicateValues" dxfId="0" priority="2"/>
  </conditionalFormatting>
  <conditionalFormatting sqref="B17:B18 B22:B25 B27:B34 B37 B39 B85 B98:B99 B115 B214:B216 B218:B219">
    <cfRule type="duplicateValues" dxfId="0" priority="16"/>
  </conditionalFormatting>
  <conditionalFormatting sqref="B19 B100 B188 B194 B211">
    <cfRule type="duplicateValues" dxfId="0" priority="14"/>
  </conditionalFormatting>
  <conditionalFormatting sqref="B20 B101:B102 B113:B114 B171 B191:B192 B207:B208 B210">
    <cfRule type="duplicateValues" dxfId="0" priority="7"/>
  </conditionalFormatting>
  <conditionalFormatting sqref="B26 B35">
    <cfRule type="duplicateValues" dxfId="0" priority="3"/>
  </conditionalFormatting>
  <conditionalFormatting sqref="B36 B93 B143">
    <cfRule type="duplicateValues" dxfId="0" priority="26"/>
  </conditionalFormatting>
  <conditionalFormatting sqref="B40 B91 B132 B137 B139:B140">
    <cfRule type="duplicateValues" dxfId="0" priority="27"/>
  </conditionalFormatting>
  <conditionalFormatting sqref="B65:B66 B73">
    <cfRule type="duplicateValues" dxfId="0" priority="38"/>
  </conditionalFormatting>
  <conditionalFormatting sqref="B67:B70 B72 B74 B76 B78 B80 B82">
    <cfRule type="duplicateValues" dxfId="0" priority="30"/>
  </conditionalFormatting>
  <conditionalFormatting sqref="B71 B79 B81 B96:B97">
    <cfRule type="duplicateValues" dxfId="0" priority="41"/>
  </conditionalFormatting>
  <conditionalFormatting sqref="B75 B178:B182 B185">
    <cfRule type="duplicateValues" dxfId="0" priority="33"/>
  </conditionalFormatting>
  <conditionalFormatting sqref="B86 B90 B122 B125">
    <cfRule type="duplicateValues" dxfId="0" priority="28"/>
  </conditionalFormatting>
  <conditionalFormatting sqref="B87 B92 B126">
    <cfRule type="duplicateValues" dxfId="0" priority="22"/>
  </conditionalFormatting>
  <conditionalFormatting sqref="B88 B109 B111 B120:B121">
    <cfRule type="duplicateValues" dxfId="0" priority="21"/>
  </conditionalFormatting>
  <conditionalFormatting sqref="B89 B220">
    <cfRule type="duplicateValues" dxfId="0" priority="20"/>
  </conditionalFormatting>
  <conditionalFormatting sqref="B95 B103 B198:B199 B202:B204 B209">
    <cfRule type="duplicateValues" dxfId="0" priority="6"/>
  </conditionalFormatting>
  <conditionalFormatting sqref="B104 B106 B108 B110 B112 B177">
    <cfRule type="duplicateValues" dxfId="0" priority="40"/>
  </conditionalFormatting>
  <conditionalFormatting sqref="B105 B107">
    <cfRule type="duplicateValues" dxfId="0" priority="39"/>
  </conditionalFormatting>
  <conditionalFormatting sqref="B116:B118 B168 B172 B197">
    <cfRule type="duplicateValues" dxfId="0" priority="11"/>
  </conditionalFormatting>
  <conditionalFormatting sqref="B119 B167 B195:B196">
    <cfRule type="duplicateValues" dxfId="0" priority="12"/>
  </conditionalFormatting>
  <conditionalFormatting sqref="B124 B133 B141:B142">
    <cfRule type="duplicateValues" dxfId="0" priority="25"/>
  </conditionalFormatting>
  <conditionalFormatting sqref="B127:B128 B136 B138">
    <cfRule type="duplicateValues" dxfId="0" priority="23"/>
  </conditionalFormatting>
  <conditionalFormatting sqref="B129:B131 B193 B217">
    <cfRule type="duplicateValues" dxfId="0" priority="17"/>
  </conditionalFormatting>
  <conditionalFormatting sqref="B169:B170 B189:B190 B212:B213">
    <cfRule type="duplicateValues" dxfId="0" priority="13"/>
  </conditionalFormatting>
  <conditionalFormatting sqref="B184 B186">
    <cfRule type="duplicateValues" dxfId="0" priority="34"/>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69"/>
  <sheetViews>
    <sheetView zoomScale="80" zoomScaleNormal="80" topLeftCell="A13" workbookViewId="0">
      <selection activeCell="Z32" sqref="Z32"/>
    </sheetView>
  </sheetViews>
  <sheetFormatPr defaultColWidth="3.46296296296296" defaultRowHeight="14.4"/>
  <cols>
    <col min="1" max="1" width="6.87962962962963" style="1" customWidth="1"/>
    <col min="2" max="2" width="2.82407407407407" style="1" customWidth="1"/>
    <col min="3" max="3" width="5.01851851851852" style="1" customWidth="1"/>
    <col min="4" max="23" width="4.32407407407407" style="1" customWidth="1"/>
    <col min="24" max="24" width="4.88888888888889" style="1" customWidth="1"/>
    <col min="25" max="46" width="4.32407407407407" style="1" customWidth="1"/>
    <col min="47" max="47" width="4.39814814814815" style="1" customWidth="1"/>
    <col min="48" max="48" width="3.46296296296296" style="1" customWidth="1"/>
    <col min="49" max="49" width="6.63888888888889" style="1" customWidth="1"/>
    <col min="50" max="50" width="3.46296296296296" style="1" customWidth="1"/>
    <col min="51" max="51" width="6.26851851851852" style="1" customWidth="1"/>
    <col min="52" max="16384" width="3.46296296296296" style="1" customWidth="1"/>
  </cols>
  <sheetData>
    <row r="1" ht="32" customHeight="1" spans="1:51">
      <c r="Q1" s="2" t="s">
        <v>501</v>
      </c>
      <c r="R1" s="2"/>
      <c r="S1" s="2"/>
      <c r="T1" s="2"/>
      <c r="U1" s="2"/>
      <c r="V1" s="2"/>
      <c r="W1" s="2"/>
      <c r="X1" s="2"/>
      <c r="Y1" s="2"/>
      <c r="Z1" s="2"/>
      <c r="AA1" s="2"/>
      <c r="AB1" s="2"/>
      <c r="AC1" s="2"/>
      <c r="AD1" s="2"/>
      <c r="AE1" s="2"/>
      <c r="AF1" s="2"/>
    </row>
    <row r="2" spans="1:51">
      <c r="A2" s="3" t="s">
        <v>502</v>
      </c>
      <c r="B2" s="3"/>
      <c r="C2" s="3"/>
      <c r="D2" s="3"/>
      <c r="E2" s="3"/>
      <c r="F2" s="3"/>
      <c r="H2" s="4"/>
      <c r="I2" s="4"/>
      <c r="J2" s="4"/>
      <c r="K2" s="4"/>
      <c r="L2" s="4"/>
      <c r="M2" s="4"/>
      <c r="N2" s="5"/>
      <c r="O2" s="5"/>
      <c r="P2" s="5"/>
      <c r="Q2" s="5"/>
      <c r="R2" s="5"/>
      <c r="S2" s="5"/>
      <c r="T2" s="5"/>
      <c r="U2" s="5"/>
      <c r="V2" s="5"/>
      <c r="W2" s="5"/>
      <c r="X2" s="5"/>
      <c r="Y2" s="5"/>
      <c r="Z2" s="5"/>
      <c r="AA2" s="5"/>
      <c r="AB2" s="5"/>
      <c r="AC2" s="5"/>
      <c r="AD2" s="5"/>
      <c r="AE2" s="5"/>
      <c r="AF2" s="5"/>
      <c r="AG2" s="5"/>
      <c r="AH2" s="5"/>
      <c r="AI2" s="5"/>
    </row>
    <row r="3" spans="1:51">
      <c r="A3" s="3"/>
      <c r="B3" s="3" t="s">
        <v>503</v>
      </c>
      <c r="C3" s="3"/>
      <c r="D3" s="3"/>
      <c r="E3" s="3"/>
      <c r="F3" s="3"/>
      <c r="H3" s="4"/>
      <c r="I3" s="4"/>
      <c r="J3" s="4"/>
      <c r="K3" s="4"/>
      <c r="L3" s="4"/>
      <c r="M3" s="4"/>
      <c r="N3" s="4"/>
      <c r="O3" s="4"/>
      <c r="P3" s="5"/>
      <c r="Q3" s="5"/>
      <c r="R3" s="5"/>
      <c r="S3" s="5"/>
      <c r="T3" s="5"/>
      <c r="U3" s="5"/>
      <c r="V3" s="5"/>
      <c r="W3" s="5"/>
      <c r="X3" s="5"/>
      <c r="Y3" s="5"/>
      <c r="Z3" s="5"/>
      <c r="AA3" s="5"/>
      <c r="AB3" s="5"/>
      <c r="AC3" s="5"/>
      <c r="AD3" s="5"/>
      <c r="AE3" s="5"/>
      <c r="AF3" s="5"/>
      <c r="AG3" s="5"/>
    </row>
    <row r="4" ht="17.4" spans="1:51">
      <c r="H4" s="4"/>
      <c r="I4" s="4"/>
      <c r="J4" s="4"/>
      <c r="K4" s="4"/>
      <c r="L4" s="4"/>
      <c r="M4" s="4"/>
      <c r="N4" s="4"/>
      <c r="O4" s="4"/>
      <c r="P4" s="4"/>
      <c r="Q4" s="6" t="s">
        <v>504</v>
      </c>
      <c r="R4" s="5"/>
      <c r="S4" s="5"/>
      <c r="T4" s="5"/>
      <c r="U4" s="5"/>
      <c r="V4" s="5"/>
      <c r="W4" s="5"/>
      <c r="X4" s="5"/>
      <c r="Y4" s="5"/>
      <c r="Z4" s="5"/>
      <c r="AA4" s="5"/>
      <c r="AB4" s="5"/>
      <c r="AC4" s="5"/>
      <c r="AD4" s="5"/>
      <c r="AE4" s="5"/>
      <c r="AF4" s="5"/>
    </row>
    <row r="5" spans="1:51">
      <c r="A5" s="3" t="s">
        <v>505</v>
      </c>
      <c r="B5" s="3"/>
      <c r="C5" s="3"/>
      <c r="D5" s="3"/>
      <c r="E5" s="3"/>
      <c r="F5" s="3"/>
      <c r="H5" s="4"/>
      <c r="I5" s="4"/>
      <c r="J5" s="4"/>
      <c r="K5" s="4"/>
      <c r="L5" s="4"/>
      <c r="M5" s="4"/>
      <c r="N5" s="4"/>
      <c r="O5" s="4"/>
      <c r="P5" s="4"/>
      <c r="R5" s="5"/>
      <c r="S5" s="5"/>
      <c r="T5" s="5"/>
      <c r="U5" s="5"/>
      <c r="V5" s="5"/>
      <c r="W5" s="5"/>
      <c r="X5" s="5"/>
      <c r="Y5" s="5"/>
      <c r="Z5" s="5"/>
      <c r="AA5" s="5"/>
      <c r="AB5" s="5"/>
      <c r="AC5" s="5"/>
      <c r="AD5" s="5"/>
      <c r="AE5" s="5"/>
    </row>
    <row r="6" spans="1:51">
      <c r="A6" s="3" t="s">
        <v>506</v>
      </c>
      <c r="B6" s="3"/>
      <c r="C6" s="3"/>
      <c r="D6" s="3"/>
      <c r="E6" s="3"/>
      <c r="F6" s="3"/>
      <c r="H6" s="4"/>
      <c r="I6" s="4"/>
      <c r="J6" s="4"/>
      <c r="K6" s="4"/>
      <c r="L6" s="4"/>
      <c r="M6" s="4"/>
      <c r="N6" s="4"/>
      <c r="O6" s="4"/>
      <c r="P6" s="4"/>
      <c r="S6" s="5" t="s">
        <v>507</v>
      </c>
      <c r="T6" s="5"/>
      <c r="U6" s="5"/>
      <c r="V6" s="5"/>
      <c r="W6" s="5"/>
      <c r="X6" s="5"/>
      <c r="Y6" s="5"/>
      <c r="Z6" s="5"/>
      <c r="AA6" s="5"/>
      <c r="AB6" s="5"/>
      <c r="AC6" s="5"/>
      <c r="AD6" s="5"/>
    </row>
    <row r="7" spans="1:51">
      <c r="A7" s="3" t="s">
        <v>508</v>
      </c>
      <c r="B7" s="3"/>
      <c r="C7" s="3"/>
      <c r="D7" s="3"/>
      <c r="E7" s="3"/>
      <c r="F7" s="3"/>
      <c r="G7" s="1">
        <v>1</v>
      </c>
      <c r="H7" s="4"/>
      <c r="I7" s="4"/>
      <c r="J7" s="4"/>
      <c r="K7" s="4"/>
      <c r="L7" s="4"/>
      <c r="M7" s="4"/>
      <c r="N7" s="4"/>
      <c r="O7" s="4"/>
      <c r="P7" s="4"/>
      <c r="S7" s="5"/>
      <c r="T7" s="5"/>
      <c r="U7" s="5"/>
      <c r="V7" s="5"/>
      <c r="W7" s="5"/>
      <c r="X7" s="5"/>
      <c r="Y7" s="5"/>
      <c r="Z7" s="5"/>
      <c r="AA7" s="5"/>
      <c r="AB7" s="5"/>
      <c r="AC7" s="5"/>
      <c r="AD7" s="5"/>
    </row>
    <row r="8" spans="1:51">
      <c r="A8" s="3" t="s">
        <v>509</v>
      </c>
      <c r="B8" s="3"/>
      <c r="C8" s="3"/>
      <c r="D8" s="3"/>
      <c r="E8" s="3"/>
      <c r="F8" s="3"/>
      <c r="H8" s="4"/>
      <c r="I8" s="4"/>
      <c r="J8" s="4"/>
      <c r="K8" s="4"/>
      <c r="L8" s="4"/>
      <c r="M8" s="4"/>
      <c r="N8" s="4"/>
      <c r="O8" s="4"/>
      <c r="P8" s="4"/>
      <c r="S8" s="5"/>
      <c r="T8" s="5"/>
      <c r="U8" s="5"/>
      <c r="V8" s="5"/>
      <c r="W8" s="5"/>
      <c r="X8" s="5"/>
      <c r="Y8" s="5"/>
      <c r="Z8" s="5"/>
      <c r="AA8" s="5"/>
      <c r="AB8" s="5"/>
      <c r="AC8" s="5"/>
      <c r="AD8" s="5"/>
    </row>
    <row r="11" spans="1:51">
      <c r="G11" s="7"/>
    </row>
    <row r="12" spans="1:51">
      <c r="G12" s="7"/>
      <c r="AQ12" s="7"/>
    </row>
    <row r="13" spans="1:51">
      <c r="G13" s="8"/>
      <c r="H13" s="9"/>
      <c r="I13" s="10">
        <v>13</v>
      </c>
      <c r="J13" s="9"/>
      <c r="K13" s="10">
        <v>11</v>
      </c>
      <c r="L13" s="9"/>
      <c r="M13" s="10">
        <v>9</v>
      </c>
      <c r="N13" s="9"/>
      <c r="O13" s="9"/>
      <c r="P13" s="9"/>
      <c r="Q13" s="9"/>
      <c r="R13" s="9"/>
      <c r="S13" s="10">
        <v>7</v>
      </c>
      <c r="T13" s="9"/>
      <c r="U13" s="10">
        <v>5</v>
      </c>
      <c r="V13" s="9"/>
      <c r="W13" s="10">
        <v>3</v>
      </c>
      <c r="X13" s="9"/>
      <c r="Y13" s="10">
        <v>1</v>
      </c>
      <c r="Z13" s="9"/>
      <c r="AA13" s="10">
        <v>2</v>
      </c>
      <c r="AB13" s="9"/>
      <c r="AC13" s="10">
        <v>4</v>
      </c>
      <c r="AD13" s="9"/>
      <c r="AE13" s="10">
        <v>6</v>
      </c>
      <c r="AF13" s="9"/>
      <c r="AG13" s="9"/>
      <c r="AH13" s="9"/>
      <c r="AI13" s="9"/>
      <c r="AJ13" s="9"/>
      <c r="AK13" s="10">
        <v>8</v>
      </c>
      <c r="AL13" s="9"/>
      <c r="AM13" s="10">
        <v>10</v>
      </c>
      <c r="AN13" s="9"/>
      <c r="AO13" s="10">
        <v>12</v>
      </c>
      <c r="AP13" s="9"/>
      <c r="AQ13" s="8"/>
      <c r="AR13" s="9"/>
      <c r="AW13" s="1" t="s">
        <v>510</v>
      </c>
      <c r="AY13" s="1">
        <v>13</v>
      </c>
    </row>
    <row r="14" spans="1:51">
      <c r="G14" s="7"/>
      <c r="I14" s="11"/>
      <c r="K14" s="11"/>
      <c r="M14" s="11"/>
      <c r="S14" s="11"/>
      <c r="U14" s="11"/>
      <c r="W14" s="11"/>
      <c r="Y14" s="11"/>
      <c r="AA14" s="11"/>
      <c r="AC14" s="11"/>
      <c r="AE14" s="11"/>
      <c r="AK14" s="11"/>
      <c r="AM14" s="11"/>
      <c r="AO14" s="11"/>
      <c r="AQ14" s="7"/>
    </row>
    <row r="15" ht="50" customHeight="1" spans="1:51">
      <c r="G15" s="12"/>
      <c r="H15" s="13"/>
      <c r="I15" s="14" t="str">
        <f>_xlfn.XLOOKUP(I13,人员名单!$E:$E,人员名单!$B:$B)</f>
        <v>彭晓彤</v>
      </c>
      <c r="J15" s="13"/>
      <c r="K15" s="14" t="str">
        <f>_xlfn.XLOOKUP(K13,人员名单!$E:$E,人员名单!$B:$B)</f>
        <v>Shakhverdiev A.Kh.
沙赫维尔基耶夫 ∙阿泽孜∙ 汉诺维奇</v>
      </c>
      <c r="L15" s="13"/>
      <c r="M15" s="14" t="str">
        <f>_xlfn.XLOOKUP(M13,人员名单!$E:$E,人员名单!$B:$B)</f>
        <v>谢玉洪</v>
      </c>
      <c r="N15" s="13"/>
      <c r="O15" s="13"/>
      <c r="P15" s="13"/>
      <c r="Q15" s="13"/>
      <c r="R15" s="13"/>
      <c r="S15" s="14" t="str">
        <f>_xlfn.XLOOKUP(S13,人员名单!$E:$E,人员名单!$B:$B)</f>
        <v>FRISTA YORHANITA
弗里斯塔·约尔哈尼塔</v>
      </c>
      <c r="T15" s="13"/>
      <c r="U15" s="14" t="str">
        <f>_xlfn.XLOOKUP(U13,人员名单!$E:$E,人员名单!$B:$B)</f>
        <v>谢  京</v>
      </c>
      <c r="V15" s="13"/>
      <c r="W15" s="14" t="str">
        <f>_xlfn.XLOOKUP(W13,人员名单!$E:$E,人员名单!$B:$B)</f>
        <v>张永涛</v>
      </c>
      <c r="X15" s="13"/>
      <c r="Y15" s="14" t="str">
        <f>_xlfn.XLOOKUP(Y13,人员名单!$E:$E,人员名单!$B:$B)</f>
        <v>王祺扬</v>
      </c>
      <c r="Z15" s="13"/>
      <c r="AA15" s="14" t="str">
        <f>_xlfn.XLOOKUP(AA13,人员名单!$E:$E,人员名单!$B:$B)</f>
        <v>孙  键</v>
      </c>
      <c r="AB15" s="13"/>
      <c r="AC15" s="14" t="str">
        <f>_xlfn.XLOOKUP(AC13,人员名单!$E:$E,人员名单!$B:$B)</f>
        <v>FARID CHEMALE JUNlOR
法里德·谢马莱·朱尼尔</v>
      </c>
      <c r="AD15" s="13"/>
      <c r="AE15" s="14" t="str">
        <f>_xlfn.XLOOKUP(AE13,人员名单!$E:$E,人员名单!$B:$B)</f>
        <v>张来斌</v>
      </c>
      <c r="AF15" s="13"/>
      <c r="AG15" s="13"/>
      <c r="AH15" s="13"/>
      <c r="AI15" s="13"/>
      <c r="AJ15" s="13"/>
      <c r="AK15" s="14" t="str">
        <f>_xlfn.XLOOKUP(AK13,人员名单!$E:$E,人员名单!$B:$B)</f>
        <v>翦知湣</v>
      </c>
      <c r="AL15" s="13"/>
      <c r="AM15" s="14" t="str">
        <f>_xlfn.XLOOKUP(AM13,人员名单!$E:$E,人员名单!$B:$B)</f>
        <v>RONNIE N.GLUD
罗尼·格鲁德</v>
      </c>
      <c r="AN15" s="13"/>
      <c r="AO15" s="14" t="str">
        <f>_xlfn.XLOOKUP(AO13,人员名单!$E:$E,人员名单!$B:$B)</f>
        <v>Kharchenko Yu.A.
哈尔琴科 ∙ 尤里 ∙ 阿列克谢耶维奇</v>
      </c>
      <c r="AP15" s="13"/>
      <c r="AQ15" s="15"/>
      <c r="AS15" s="16"/>
      <c r="AT15" s="16"/>
    </row>
    <row r="16" spans="1:51">
      <c r="O16" s="16"/>
      <c r="AS16" s="16"/>
      <c r="AT16" s="16"/>
    </row>
    <row r="17" spans="1:51">
      <c r="A17" s="17" t="s">
        <v>511</v>
      </c>
      <c r="B17" s="7"/>
      <c r="F17" s="18">
        <v>37</v>
      </c>
      <c r="G17" s="18">
        <v>36</v>
      </c>
      <c r="H17" s="18">
        <v>35</v>
      </c>
      <c r="I17" s="18">
        <v>34</v>
      </c>
      <c r="J17" s="18">
        <v>33</v>
      </c>
      <c r="K17" s="18">
        <v>32</v>
      </c>
      <c r="L17" s="18">
        <v>31</v>
      </c>
      <c r="M17" s="18">
        <v>30</v>
      </c>
      <c r="N17" s="18">
        <v>29</v>
      </c>
      <c r="O17" s="19"/>
      <c r="Q17" s="18">
        <v>28</v>
      </c>
      <c r="R17" s="18">
        <v>27</v>
      </c>
      <c r="S17" s="18">
        <v>26</v>
      </c>
      <c r="T17" s="18">
        <v>25</v>
      </c>
      <c r="U17" s="18">
        <v>24</v>
      </c>
      <c r="V17" s="18">
        <v>23</v>
      </c>
      <c r="W17" s="18">
        <v>22</v>
      </c>
      <c r="X17" s="18">
        <v>21</v>
      </c>
      <c r="Y17" s="18">
        <v>20</v>
      </c>
      <c r="Z17" s="18">
        <v>19</v>
      </c>
      <c r="AA17" s="18">
        <v>18</v>
      </c>
      <c r="AB17" s="18">
        <v>17</v>
      </c>
      <c r="AC17" s="18">
        <v>16</v>
      </c>
      <c r="AD17" s="18">
        <v>15</v>
      </c>
      <c r="AE17" s="18">
        <v>14</v>
      </c>
      <c r="AF17" s="18">
        <v>13</v>
      </c>
      <c r="AG17" s="18">
        <v>12</v>
      </c>
      <c r="AI17" s="20"/>
      <c r="AJ17" s="18">
        <v>11</v>
      </c>
      <c r="AK17" s="18">
        <v>10</v>
      </c>
      <c r="AL17" s="18">
        <v>9</v>
      </c>
      <c r="AM17" s="18">
        <v>8</v>
      </c>
      <c r="AN17" s="18">
        <v>7</v>
      </c>
      <c r="AO17" s="18">
        <v>6</v>
      </c>
      <c r="AP17" s="18">
        <v>5</v>
      </c>
      <c r="AQ17" s="18">
        <v>4</v>
      </c>
      <c r="AR17" s="18">
        <v>3</v>
      </c>
      <c r="AS17" s="16"/>
      <c r="AT17" s="16"/>
      <c r="AW17" s="17" t="s">
        <v>511</v>
      </c>
      <c r="AY17" s="1">
        <v>35</v>
      </c>
    </row>
    <row r="18" spans="1:51">
      <c r="A18" s="17"/>
      <c r="B18" s="7"/>
      <c r="F18" s="21">
        <v>48</v>
      </c>
      <c r="G18" s="21">
        <v>46</v>
      </c>
      <c r="H18" s="21">
        <v>44</v>
      </c>
      <c r="I18" s="21">
        <v>42</v>
      </c>
      <c r="J18" s="21">
        <v>40</v>
      </c>
      <c r="K18" s="21">
        <v>38</v>
      </c>
      <c r="L18" s="21">
        <v>36</v>
      </c>
      <c r="M18" s="21">
        <v>34</v>
      </c>
      <c r="N18" s="21">
        <v>32</v>
      </c>
      <c r="O18" s="19"/>
      <c r="Q18" s="21">
        <v>30</v>
      </c>
      <c r="R18" s="21">
        <v>28</v>
      </c>
      <c r="S18" s="21">
        <v>26</v>
      </c>
      <c r="T18" s="21">
        <v>24</v>
      </c>
      <c r="U18" s="21">
        <v>22</v>
      </c>
      <c r="V18" s="21">
        <v>20</v>
      </c>
      <c r="W18" s="21">
        <v>18</v>
      </c>
      <c r="X18" s="21">
        <v>16</v>
      </c>
      <c r="Y18" s="21">
        <v>14</v>
      </c>
      <c r="Z18" s="21">
        <v>15</v>
      </c>
      <c r="AA18" s="21">
        <v>17</v>
      </c>
      <c r="AB18" s="21">
        <v>19</v>
      </c>
      <c r="AC18" s="21">
        <v>21</v>
      </c>
      <c r="AD18" s="21">
        <v>23</v>
      </c>
      <c r="AE18" s="21">
        <v>25</v>
      </c>
      <c r="AF18" s="21">
        <v>27</v>
      </c>
      <c r="AG18" s="21">
        <v>29</v>
      </c>
      <c r="AI18" s="20"/>
      <c r="AJ18" s="21">
        <v>31</v>
      </c>
      <c r="AK18" s="21">
        <v>33</v>
      </c>
      <c r="AL18" s="21">
        <v>35</v>
      </c>
      <c r="AM18" s="21">
        <v>37</v>
      </c>
      <c r="AN18" s="21">
        <v>39</v>
      </c>
      <c r="AO18" s="21">
        <v>41</v>
      </c>
      <c r="AP18" s="21">
        <v>43</v>
      </c>
      <c r="AQ18" s="21">
        <v>45</v>
      </c>
      <c r="AR18" s="21">
        <v>47</v>
      </c>
      <c r="AW18" s="17"/>
    </row>
    <row r="19" ht="59" customHeight="1" spans="1:51">
      <c r="A19" s="17"/>
      <c r="B19" s="7"/>
      <c r="F19" s="22" t="str">
        <f>_xlfn.XLOOKUP(F18,人员名单!$E:$E,人员名单!$B:$B)</f>
        <v>ILTAF HAMZA</v>
      </c>
      <c r="G19" s="22" t="str">
        <f>_xlfn.XLOOKUP(G18,人员名单!$E:$E,人员名单!$B:$B)</f>
        <v>Muhammad Amjad Farooq</v>
      </c>
      <c r="H19" s="22" t="str">
        <f>_xlfn.XLOOKUP(H18,人员名单!$E:$E,人员名单!$B:$B)</f>
        <v>David Fernandez Blanco</v>
      </c>
      <c r="I19" s="22" t="str">
        <f>_xlfn.XLOOKUP(I18,人员名单!$E:$E,人员名单!$B:$B)</f>
        <v>UITDENHOUWEN HANS</v>
      </c>
      <c r="J19" s="22" t="str">
        <f>_xlfn.XLOOKUP(J18,人员名单!$E:$E,人员名单!$B:$B)</f>
        <v>Edward Charles McNairn</v>
      </c>
      <c r="K19" s="22" t="str">
        <f>_xlfn.XLOOKUP(K18,人员名单!$E:$E,人员名单!$B:$B)</f>
        <v>Melina Andreu</v>
      </c>
      <c r="L19" s="22" t="str">
        <f>_xlfn.XLOOKUP(L18,人员名单!$E:$E,人员名单!$B:$B)</f>
        <v>AVORNIC/LORINA 
阿沃尼奇/洛丽娜</v>
      </c>
      <c r="M19" s="22" t="str">
        <f>_xlfn.XLOOKUP(M18,人员名单!$E:$E,人员名单!$B:$B)</f>
        <v>Yushin Evgeny Sergeevich</v>
      </c>
      <c r="N19" s="22" t="str">
        <f>_xlfn.XLOOKUP(N18,人员名单!$E:$E,人员名单!$B:$B)</f>
        <v>GRIGO/MANFRED ERWIN OTTO
格里戈/曼弗雷德*欧文*奥托</v>
      </c>
      <c r="O19" s="22"/>
      <c r="P19" s="22"/>
      <c r="Q19" s="22" t="str">
        <f>_xlfn.XLOOKUP(Q18,人员名单!$E:$E,人员名单!$B:$B)</f>
        <v>Golovan Andrii
霍洛万·安德烈</v>
      </c>
      <c r="R19" s="22" t="str">
        <f>_xlfn.XLOOKUP(R18,人员名单!$E:$E,人员名单!$B:$B)</f>
        <v>Volodymyr Golikov
弗拉基米尔 格里科夫</v>
      </c>
      <c r="S19" s="22" t="str">
        <f>_xlfn.XLOOKUP(S18,人员名单!$E:$E,人员名单!$B:$B)</f>
        <v>Zaytsev Valeriy
扎伊采夫 瓦列里</v>
      </c>
      <c r="T19" s="22" t="str">
        <f>_xlfn.XLOOKUP(T18,人员名单!$E:$E,人员名单!$B:$B)</f>
        <v>KALINICHENKO YEVGENIY
叶夫根尼·卡利尼琴科</v>
      </c>
      <c r="U19" s="22" t="str">
        <f>_xlfn.XLOOKUP(U18,人员名单!$E:$E,人员名单!$B:$B)</f>
        <v>LANGA/ADRIAN 
朗加 艾德里安</v>
      </c>
      <c r="V19" s="22" t="str">
        <f>_xlfn.XLOOKUP(V18,人员名单!$E:$E,人员名单!$B:$B)</f>
        <v>NADTOCHYI/ANATOLII 
纳多奇/安纳托利亚</v>
      </c>
      <c r="W19" s="22" t="str">
        <f>_xlfn.XLOOKUP(W18,人员名单!$E:$E,人员名单!$B:$B)</f>
        <v>Ariel Fuchs
阿列尔·富克斯</v>
      </c>
      <c r="X19" s="22" t="str">
        <f>_xlfn.XLOOKUP(X18,人员名单!$E:$E,人员名单!$B:$B)</f>
        <v>Savelieva·Iryna
萨韦利耶娃·伊琳娜</v>
      </c>
      <c r="Y19" s="22" t="str">
        <f>_xlfn.XLOOKUP(Y18,人员名单!$E:$E,人员名单!$B:$B)</f>
        <v>Marian Wiercigroch</v>
      </c>
      <c r="Z19" s="22" t="str">
        <f>_xlfn.XLOOKUP(Z18,人员名单!$E:$E,人员名单!$B:$B)</f>
        <v>AVORNIC/GHEORGHE 阿沃尼奇/吉奥格</v>
      </c>
      <c r="AA19" s="22" t="str">
        <f>_xlfn.XLOOKUP(AA18,人员名单!$E:$E,人员名单!$B:$B)</f>
        <v>Sutenti</v>
      </c>
      <c r="AB19" s="22" t="str">
        <f>_xlfn.XLOOKUP(AB18,人员名单!$E:$E,人员名单!$B:$B)</f>
        <v>李培峰</v>
      </c>
      <c r="AC19" s="22" t="str">
        <f>_xlfn.XLOOKUP(AC18,人员名单!$E:$E,人员名单!$B:$B)</f>
        <v>VLADIMIR GOLOVKO</v>
      </c>
      <c r="AD19" s="22" t="str">
        <f>_xlfn.XLOOKUP(AD18,人员名单!$E:$E,人员名单!$B:$B)</f>
        <v>ILIEVA/GALINA ILIEVA伊利耶娃/加林娜 伊利耶娃</v>
      </c>
      <c r="AE19" s="22" t="str">
        <f>_xlfn.XLOOKUP(AE18,人员名单!$E:$E,人员名单!$B:$B)</f>
        <v>VARBANETS/ROMAN
 瓦尔巴涅茨 罗马</v>
      </c>
      <c r="AF19" s="22" t="str">
        <f>_xlfn.XLOOKUP(AF18,人员名单!$E:$E,人员名单!$B:$B)</f>
        <v>Zaytsev Dmitriy
扎伊采夫 德米特里</v>
      </c>
      <c r="AG19" s="22" t="str">
        <f>_xlfn.XLOOKUP(AG18,人员名单!$E:$E,人员名单!$B:$B)</f>
        <v>Korban Dmytro
科尔班 德米特里</v>
      </c>
      <c r="AH19" s="22"/>
      <c r="AI19" s="22"/>
      <c r="AJ19" s="22" t="str">
        <f>_xlfn.XLOOKUP(AJ18,人员名单!$E:$E,人员名单!$B:$B)</f>
        <v>NENOV/HRISTO BOZHIDAROV
 涅诺夫/克里斯托弗 
博日达罗夫</v>
      </c>
      <c r="AK19" s="22" t="str">
        <f>_xlfn.XLOOKUP(AK18,人员名单!$E:$E,人员名单!$B:$B)</f>
        <v>MUKHA MYKOLA
穆哈·尼古拉</v>
      </c>
      <c r="AL19" s="22" t="str">
        <f>_xlfn.XLOOKUP(AL18,人员名单!$E:$E,人员名单!$B:$B)</f>
        <v>AVORNIC/ALEXANDRU 
阿沃尼奇/亚历山德鲁</v>
      </c>
      <c r="AM19" s="22" t="str">
        <f>_xlfn.XLOOKUP(AM18,人员名单!$E:$E,人员名单!$B:$B)</f>
        <v>ULRICH/UWE MAX REINHOLD 
乌尔里希/乌韦 马克斯*莱因霍尔德</v>
      </c>
      <c r="AN19" s="22" t="str">
        <f>_xlfn.XLOOKUP(AN18,人员名单!$E:$E,人员名单!$B:$B)</f>
        <v>胡志强</v>
      </c>
      <c r="AO19" s="22" t="str">
        <f>_xlfn.XLOOKUP(AO18,人员名单!$E:$E,人员名单!$B:$B)</f>
        <v>Maximilian Keller /柯颜勋</v>
      </c>
      <c r="AP19" s="22" t="str">
        <f>_xlfn.XLOOKUP(AP18,人员名单!$E:$E,人员名单!$B:$B)</f>
        <v>Charlotte Magnette</v>
      </c>
      <c r="AQ19" s="22" t="str">
        <f>_xlfn.XLOOKUP(AQ18,人员名单!$E:$E,人员名单!$B:$B)</f>
        <v>柳小正</v>
      </c>
      <c r="AR19" s="22" t="str">
        <f>_xlfn.XLOOKUP(AR18,人员名单!$E:$E,人员名单!$B:$B)</f>
        <v>Saleem</v>
      </c>
      <c r="AW19" s="17"/>
    </row>
    <row r="20" spans="1:51">
      <c r="M20" s="16"/>
      <c r="N20" s="16"/>
      <c r="O20" s="19"/>
      <c r="AI20" s="20"/>
    </row>
    <row r="21" spans="1:51">
      <c r="A21" s="23" t="s">
        <v>512</v>
      </c>
      <c r="E21" s="18">
        <v>41</v>
      </c>
      <c r="F21" s="18">
        <v>40</v>
      </c>
      <c r="G21" s="18">
        <v>39</v>
      </c>
      <c r="H21" s="18">
        <v>38</v>
      </c>
      <c r="I21" s="18">
        <v>37</v>
      </c>
      <c r="J21" s="18">
        <v>36</v>
      </c>
      <c r="K21" s="18">
        <v>35</v>
      </c>
      <c r="L21" s="18">
        <v>34</v>
      </c>
      <c r="M21" s="18">
        <v>33</v>
      </c>
      <c r="N21" s="18">
        <v>32</v>
      </c>
      <c r="O21" s="19"/>
      <c r="P21" s="18">
        <v>31</v>
      </c>
      <c r="Q21" s="18">
        <v>30</v>
      </c>
      <c r="R21" s="18">
        <v>29</v>
      </c>
      <c r="S21" s="18">
        <v>28</v>
      </c>
      <c r="T21" s="18">
        <v>27</v>
      </c>
      <c r="U21" s="18">
        <v>26</v>
      </c>
      <c r="V21" s="18">
        <v>25</v>
      </c>
      <c r="W21" s="18">
        <v>24</v>
      </c>
      <c r="X21" s="18">
        <v>23</v>
      </c>
      <c r="Y21" s="18">
        <v>22</v>
      </c>
      <c r="Z21" s="18">
        <v>21</v>
      </c>
      <c r="AA21" s="18">
        <v>20</v>
      </c>
      <c r="AB21" s="18">
        <v>19</v>
      </c>
      <c r="AC21" s="18">
        <v>18</v>
      </c>
      <c r="AD21" s="18">
        <v>17</v>
      </c>
      <c r="AE21" s="18">
        <v>16</v>
      </c>
      <c r="AF21" s="18">
        <v>15</v>
      </c>
      <c r="AG21" s="18">
        <v>14</v>
      </c>
      <c r="AH21" s="18">
        <v>13</v>
      </c>
      <c r="AI21" s="20"/>
      <c r="AJ21" s="18">
        <v>12</v>
      </c>
      <c r="AK21" s="18">
        <v>11</v>
      </c>
      <c r="AL21" s="18">
        <v>10</v>
      </c>
      <c r="AM21" s="18">
        <v>9</v>
      </c>
      <c r="AN21" s="18">
        <v>8</v>
      </c>
      <c r="AO21" s="18">
        <v>7</v>
      </c>
      <c r="AP21" s="18">
        <v>6</v>
      </c>
      <c r="AQ21" s="18">
        <v>5</v>
      </c>
      <c r="AR21" s="18">
        <v>4</v>
      </c>
      <c r="AS21" s="18">
        <v>3</v>
      </c>
      <c r="AW21" s="23" t="s">
        <v>512</v>
      </c>
      <c r="AY21" s="1">
        <v>39</v>
      </c>
    </row>
    <row r="22" spans="1:51">
      <c r="A22" s="23"/>
      <c r="E22" s="21">
        <v>87</v>
      </c>
      <c r="F22" s="21">
        <v>85</v>
      </c>
      <c r="G22" s="21">
        <v>83</v>
      </c>
      <c r="H22" s="21">
        <v>81</v>
      </c>
      <c r="I22" s="21">
        <v>79</v>
      </c>
      <c r="J22" s="21">
        <v>77</v>
      </c>
      <c r="K22" s="21">
        <v>75</v>
      </c>
      <c r="L22" s="21">
        <v>73</v>
      </c>
      <c r="M22" s="21">
        <v>71</v>
      </c>
      <c r="N22" s="21">
        <v>69</v>
      </c>
      <c r="O22" s="19"/>
      <c r="P22" s="21">
        <v>67</v>
      </c>
      <c r="Q22" s="21">
        <v>65</v>
      </c>
      <c r="R22" s="21">
        <v>63</v>
      </c>
      <c r="S22" s="21">
        <v>61</v>
      </c>
      <c r="T22" s="21">
        <v>59</v>
      </c>
      <c r="U22" s="21">
        <v>57</v>
      </c>
      <c r="V22" s="21">
        <v>55</v>
      </c>
      <c r="W22" s="21">
        <v>53</v>
      </c>
      <c r="X22" s="21">
        <v>51</v>
      </c>
      <c r="Y22" s="21">
        <v>49</v>
      </c>
      <c r="Z22" s="21">
        <v>50</v>
      </c>
      <c r="AA22" s="21">
        <v>52</v>
      </c>
      <c r="AB22" s="21">
        <v>54</v>
      </c>
      <c r="AC22" s="21">
        <v>56</v>
      </c>
      <c r="AD22" s="21">
        <v>58</v>
      </c>
      <c r="AE22" s="21">
        <v>60</v>
      </c>
      <c r="AF22" s="21">
        <v>62</v>
      </c>
      <c r="AG22" s="21">
        <v>64</v>
      </c>
      <c r="AH22" s="21">
        <v>66</v>
      </c>
      <c r="AI22" s="20"/>
      <c r="AJ22" s="21">
        <v>68</v>
      </c>
      <c r="AK22" s="21">
        <v>70</v>
      </c>
      <c r="AL22" s="21">
        <v>72</v>
      </c>
      <c r="AM22" s="21">
        <v>74</v>
      </c>
      <c r="AN22" s="21">
        <v>76</v>
      </c>
      <c r="AO22" s="21">
        <v>78</v>
      </c>
      <c r="AP22" s="21">
        <v>80</v>
      </c>
      <c r="AQ22" s="21">
        <v>82</v>
      </c>
      <c r="AR22" s="21">
        <v>84</v>
      </c>
      <c r="AS22" s="21">
        <v>86</v>
      </c>
      <c r="AW22" s="23"/>
    </row>
    <row r="23" ht="77" customHeight="1" spans="1:51">
      <c r="A23" s="23"/>
      <c r="E23" s="24">
        <f>_xlfn.XLOOKUP(E22,人员名单!$E:$E,人员名单!$B:$B)</f>
        <v>0</v>
      </c>
      <c r="F23" s="22" t="str">
        <f>_xlfn.XLOOKUP(F22,人员名单!$E:$E,人员名单!$B:$B)</f>
        <v>马会珍</v>
      </c>
      <c r="G23" s="22" t="str">
        <f>_xlfn.XLOOKUP(G22,人员名单!$E:$E,人员名单!$B:$B)</f>
        <v>李力</v>
      </c>
      <c r="H23" s="22" t="str">
        <f>_xlfn.XLOOKUP(H22,人员名单!$E:$E,人员名单!$B:$B)</f>
        <v>孙东征</v>
      </c>
      <c r="I23" s="22" t="str">
        <f>_xlfn.XLOOKUP(I22,人员名单!$E:$E,人员名单!$B:$B)</f>
        <v>孙清</v>
      </c>
      <c r="J23" s="22" t="str">
        <f>_xlfn.XLOOKUP(J22,人员名单!$E:$E,人员名单!$B:$B)</f>
        <v>肖坤</v>
      </c>
      <c r="K23" s="22" t="str">
        <f>_xlfn.XLOOKUP(K22,人员名单!$E:$E,人员名单!$B:$B)</f>
        <v>唐旭</v>
      </c>
      <c r="L23" s="22" t="str">
        <f>_xlfn.XLOOKUP(L22,人员名单!$E:$E,人员名单!$B:$B)</f>
        <v>黄鑫</v>
      </c>
      <c r="M23" s="22" t="str">
        <f>_xlfn.XLOOKUP(M22,人员名单!$E:$E,人员名单!$B:$B)</f>
        <v>刘书杰</v>
      </c>
      <c r="N23" s="22" t="str">
        <f>_xlfn.XLOOKUP(N22,人员名单!$E:$E,人员名单!$B:$B)</f>
        <v>谈戈</v>
      </c>
      <c r="O23" s="22"/>
      <c r="P23" s="22" t="e">
        <f>_xlfn.XLOOKUP(P22,人员名单!$E:$E,人员名单!$B:$B)</f>
        <v>#N/A</v>
      </c>
      <c r="Q23" s="22" t="e">
        <f>_xlfn.XLOOKUP(Q22,人员名单!$E:$E,人员名单!$B:$B)</f>
        <v>#N/A</v>
      </c>
      <c r="R23" s="22" t="e">
        <f>_xlfn.XLOOKUP(R22,人员名单!$E:$E,人员名单!$B:$B)</f>
        <v>#N/A</v>
      </c>
      <c r="S23" s="22" t="str">
        <f>_xlfn.XLOOKUP(S22,人员名单!$E:$E,人员名单!$B:$B)</f>
        <v>Phatchamon</v>
      </c>
      <c r="T23" s="22" t="str">
        <f>_xlfn.XLOOKUP(T22,人员名单!$E:$E,人员名单!$B:$B)</f>
        <v>叶福龙IVAN EFENDI</v>
      </c>
      <c r="U23" s="22" t="str">
        <f>_xlfn.XLOOKUP(U22,人员名单!$E:$E,人员名单!$B:$B)</f>
        <v>Shahir  Liew</v>
      </c>
      <c r="V23" s="22" t="str">
        <f>_xlfn.XLOOKUP(V22,人员名单!$E:$E,人员名单!$B:$B)</f>
        <v>Geneuza Muniz</v>
      </c>
      <c r="W23" s="22" t="str">
        <f>_xlfn.XLOOKUP(W22,人员名单!$E:$E,人员名单!$B:$B)</f>
        <v>Ihtesham Arshad</v>
      </c>
      <c r="X23" s="22" t="str">
        <f>_xlfn.XLOOKUP(X22,人员名单!$E:$E,人员名单!$B:$B)</f>
        <v>Wajid Saeed</v>
      </c>
      <c r="Y23" s="22" t="str">
        <f>_xlfn.XLOOKUP(Y22,人员名单!$E:$E,人员名单!$B:$B)</f>
        <v>Mahideen Afridi</v>
      </c>
      <c r="Z23" s="22" t="str">
        <f>_xlfn.XLOOKUP(Z22,人员名单!$E:$E,人员名单!$B:$B)</f>
        <v>Muhammad Umer</v>
      </c>
      <c r="AA23" s="22" t="str">
        <f>_xlfn.XLOOKUP(AA22,人员名单!$E:$E,人员名单!$B:$B)</f>
        <v>Ali Abbas</v>
      </c>
      <c r="AB23" s="22" t="str">
        <f>_xlfn.XLOOKUP(AB22,人员名单!$E:$E,人员名单!$B:$B)</f>
        <v>Wisal Ahmad</v>
      </c>
      <c r="AC23" s="22" t="str">
        <f>_xlfn.XLOOKUP(AC22,人员名单!$E:$E,人员名单!$B:$B)</f>
        <v>Phili Mbongwana</v>
      </c>
      <c r="AD23" s="22" t="str">
        <f>_xlfn.XLOOKUP(AD22,人员名单!$E:$E,人员名单!$B:$B)</f>
        <v>Hana Victory Ryan Surya</v>
      </c>
      <c r="AE23" s="22" t="str">
        <f>_xlfn.XLOOKUP(AE22,人员名单!$E:$E,人员名单!$B:$B)</f>
        <v>wedemariam sofonias</v>
      </c>
      <c r="AF23" s="22" t="str">
        <f>_xlfn.XLOOKUP(AF22,人员名单!$E:$E,人员名单!$B:$B)</f>
        <v>Omar Awad</v>
      </c>
      <c r="AG23" s="22" t="e">
        <f>_xlfn.XLOOKUP(AG22,人员名单!$E:$E,人员名单!$B:$B)</f>
        <v>#N/A</v>
      </c>
      <c r="AH23" s="22" t="e">
        <f>_xlfn.XLOOKUP(AH22,人员名单!$E:$E,人员名单!$B:$B)</f>
        <v>#N/A</v>
      </c>
      <c r="AI23" s="22"/>
      <c r="AJ23" s="22" t="str">
        <f>_xlfn.XLOOKUP(AJ22,人员名单!$E:$E,人员名单!$B:$B)</f>
        <v>陈杰</v>
      </c>
      <c r="AK23" s="22" t="str">
        <f>_xlfn.XLOOKUP(AK22,人员名单!$E:$E,人员名单!$B:$B)</f>
        <v>刘敏</v>
      </c>
      <c r="AL23" s="22" t="str">
        <f>_xlfn.XLOOKUP(AL22,人员名单!$E:$E,人员名单!$B:$B)</f>
        <v>王文涛</v>
      </c>
      <c r="AM23" s="22" t="str">
        <f>_xlfn.XLOOKUP(AM22,人员名单!$E:$E,人员名单!$B:$B)</f>
        <v>牛青山</v>
      </c>
      <c r="AN23" s="22" t="str">
        <f>_xlfn.XLOOKUP(AN22,人员名单!$E:$E,人员名单!$B:$B)</f>
        <v>蒙巍</v>
      </c>
      <c r="AO23" s="22" t="str">
        <f>_xlfn.XLOOKUP(AO22,人员名单!$E:$E,人员名单!$B:$B)</f>
        <v>王云飞</v>
      </c>
      <c r="AP23" s="22" t="str">
        <f>_xlfn.XLOOKUP(AP22,人员名单!$E:$E,人员名单!$B:$B)</f>
        <v>樊木</v>
      </c>
      <c r="AQ23" s="22" t="str">
        <f>_xlfn.XLOOKUP(AQ22,人员名单!$E:$E,人员名单!$B:$B)</f>
        <v>李海明</v>
      </c>
      <c r="AR23" s="22" t="str">
        <f>_xlfn.XLOOKUP(AR22,人员名单!$E:$E,人员名单!$B:$B)</f>
        <v>吴明华</v>
      </c>
      <c r="AS23" s="22">
        <f>_xlfn.XLOOKUP(AS22,人员名单!$E:$E,人员名单!$B:$B)</f>
        <v>0</v>
      </c>
      <c r="AW23" s="23"/>
    </row>
    <row r="24" spans="1:51">
      <c r="M24" s="16"/>
      <c r="N24" s="16"/>
      <c r="O24" s="19"/>
      <c r="AI24" s="20"/>
    </row>
    <row r="25" spans="1:51">
      <c r="A25" s="17" t="s">
        <v>513</v>
      </c>
      <c r="D25" s="18">
        <v>42</v>
      </c>
      <c r="E25" s="18">
        <v>41</v>
      </c>
      <c r="F25" s="18">
        <v>40</v>
      </c>
      <c r="G25" s="18">
        <v>39</v>
      </c>
      <c r="H25" s="18">
        <v>38</v>
      </c>
      <c r="I25" s="18">
        <v>37</v>
      </c>
      <c r="J25" s="18">
        <v>36</v>
      </c>
      <c r="K25" s="18">
        <v>35</v>
      </c>
      <c r="L25" s="18">
        <v>34</v>
      </c>
      <c r="M25" s="18">
        <v>33</v>
      </c>
      <c r="N25" s="18">
        <v>32</v>
      </c>
      <c r="O25" s="19"/>
      <c r="P25" s="18">
        <v>31</v>
      </c>
      <c r="Q25" s="18">
        <v>30</v>
      </c>
      <c r="R25" s="18">
        <v>29</v>
      </c>
      <c r="S25" s="18">
        <v>28</v>
      </c>
      <c r="T25" s="18">
        <v>27</v>
      </c>
      <c r="U25" s="18">
        <v>26</v>
      </c>
      <c r="V25" s="18">
        <v>25</v>
      </c>
      <c r="W25" s="18">
        <v>24</v>
      </c>
      <c r="X25" s="18">
        <v>23</v>
      </c>
      <c r="Y25" s="18">
        <v>22</v>
      </c>
      <c r="Z25" s="18">
        <v>21</v>
      </c>
      <c r="AA25" s="18">
        <v>20</v>
      </c>
      <c r="AB25" s="18">
        <v>19</v>
      </c>
      <c r="AC25" s="18">
        <v>18</v>
      </c>
      <c r="AD25" s="18">
        <v>17</v>
      </c>
      <c r="AE25" s="18">
        <v>16</v>
      </c>
      <c r="AF25" s="18">
        <v>15</v>
      </c>
      <c r="AG25" s="18">
        <v>14</v>
      </c>
      <c r="AH25" s="18">
        <v>13</v>
      </c>
      <c r="AI25" s="20"/>
      <c r="AJ25" s="18">
        <v>12</v>
      </c>
      <c r="AK25" s="18">
        <v>11</v>
      </c>
      <c r="AL25" s="18">
        <v>10</v>
      </c>
      <c r="AM25" s="18">
        <v>9</v>
      </c>
      <c r="AN25" s="18">
        <v>8</v>
      </c>
      <c r="AO25" s="18">
        <v>7</v>
      </c>
      <c r="AP25" s="18">
        <v>6</v>
      </c>
      <c r="AQ25" s="18">
        <v>5</v>
      </c>
      <c r="AR25" s="18">
        <v>4</v>
      </c>
      <c r="AS25" s="18">
        <v>3</v>
      </c>
      <c r="AT25" s="18">
        <v>2</v>
      </c>
      <c r="AW25" s="17" t="s">
        <v>513</v>
      </c>
      <c r="AY25" s="1">
        <v>41</v>
      </c>
    </row>
    <row r="26" spans="1:51">
      <c r="A26" s="17"/>
      <c r="D26" s="21">
        <v>128</v>
      </c>
      <c r="E26" s="21">
        <v>126</v>
      </c>
      <c r="F26" s="21">
        <v>124</v>
      </c>
      <c r="G26" s="21">
        <v>122</v>
      </c>
      <c r="H26" s="21">
        <v>120</v>
      </c>
      <c r="I26" s="21">
        <v>118</v>
      </c>
      <c r="J26" s="21">
        <v>116</v>
      </c>
      <c r="K26" s="21">
        <v>114</v>
      </c>
      <c r="L26" s="21">
        <v>112</v>
      </c>
      <c r="M26" s="21">
        <v>110</v>
      </c>
      <c r="N26" s="21">
        <v>108</v>
      </c>
      <c r="O26" s="19"/>
      <c r="P26" s="21">
        <v>106</v>
      </c>
      <c r="Q26" s="21">
        <v>104</v>
      </c>
      <c r="R26" s="21">
        <v>102</v>
      </c>
      <c r="S26" s="21">
        <v>100</v>
      </c>
      <c r="T26" s="21">
        <v>98</v>
      </c>
      <c r="U26" s="21">
        <v>96</v>
      </c>
      <c r="V26" s="21">
        <v>94</v>
      </c>
      <c r="W26" s="21">
        <v>92</v>
      </c>
      <c r="X26" s="21">
        <v>90</v>
      </c>
      <c r="Y26" s="21">
        <v>88</v>
      </c>
      <c r="Z26" s="21">
        <v>89</v>
      </c>
      <c r="AA26" s="21">
        <v>91</v>
      </c>
      <c r="AB26" s="21">
        <v>93</v>
      </c>
      <c r="AC26" s="21">
        <v>95</v>
      </c>
      <c r="AD26" s="21">
        <v>97</v>
      </c>
      <c r="AE26" s="21">
        <v>99</v>
      </c>
      <c r="AF26" s="21">
        <v>101</v>
      </c>
      <c r="AG26" s="21">
        <v>103</v>
      </c>
      <c r="AH26" s="21">
        <v>105</v>
      </c>
      <c r="AI26" s="20"/>
      <c r="AJ26" s="21">
        <v>107</v>
      </c>
      <c r="AK26" s="21">
        <v>109</v>
      </c>
      <c r="AL26" s="21">
        <v>111</v>
      </c>
      <c r="AM26" s="21">
        <v>113</v>
      </c>
      <c r="AN26" s="21">
        <v>115</v>
      </c>
      <c r="AO26" s="21">
        <v>117</v>
      </c>
      <c r="AP26" s="21">
        <v>119</v>
      </c>
      <c r="AQ26" s="21">
        <v>121</v>
      </c>
      <c r="AR26" s="21">
        <v>123</v>
      </c>
      <c r="AS26" s="21">
        <v>125</v>
      </c>
      <c r="AT26" s="21">
        <v>127</v>
      </c>
      <c r="AW26" s="17"/>
    </row>
    <row r="27" ht="59.4" spans="1:51">
      <c r="A27" s="17"/>
      <c r="D27" s="22" t="str">
        <f>_xlfn.XLOOKUP(D26,人员名单!$E:$E,人员名单!$B:$B)</f>
        <v>李志勇</v>
      </c>
      <c r="E27" s="22" t="str">
        <f>_xlfn.XLOOKUP(E26,人员名单!$E:$E,人员名单!$B:$B)</f>
        <v>孙冬柏</v>
      </c>
      <c r="F27" s="22" t="str">
        <f>_xlfn.XLOOKUP(F26,人员名单!$E:$E,人员名单!$B:$B)</f>
        <v>王寅</v>
      </c>
      <c r="G27" s="22" t="str">
        <f>_xlfn.XLOOKUP(G26,人员名单!$E:$E,人员名单!$B:$B)</f>
        <v>刘海洋</v>
      </c>
      <c r="H27" s="22" t="str">
        <f>_xlfn.XLOOKUP(H26,人员名单!$E:$E,人员名单!$B:$B)</f>
        <v>王辉山</v>
      </c>
      <c r="I27" s="22" t="str">
        <f>_xlfn.XLOOKUP(I26,人员名单!$E:$E,人员名单!$B:$B)</f>
        <v>莫世奇</v>
      </c>
      <c r="J27" s="22" t="str">
        <f>_xlfn.XLOOKUP(J26,人员名单!$E:$E,人员名单!$B:$B)</f>
        <v>董兴辉</v>
      </c>
      <c r="K27" s="22" t="str">
        <f>_xlfn.XLOOKUP(K26,人员名单!$E:$E,人员名单!$B:$B)</f>
        <v>周智</v>
      </c>
      <c r="L27" s="22" t="str">
        <f>_xlfn.XLOOKUP(L26,人员名单!$E:$E,人员名单!$B:$B)</f>
        <v>姜宏</v>
      </c>
      <c r="M27" s="22" t="str">
        <f>_xlfn.XLOOKUP(M26,人员名单!$E:$E,人员名单!$B:$B)</f>
        <v>汤涛</v>
      </c>
      <c r="N27" s="22" t="str">
        <f>_xlfn.XLOOKUP(N26,人员名单!$E:$E,人员名单!$B:$B)</f>
        <v>卫天蛟</v>
      </c>
      <c r="O27" s="22"/>
      <c r="P27" s="22" t="str">
        <f>_xlfn.XLOOKUP(P26,人员名单!$E:$E,人员名单!$B:$B)</f>
        <v>岳震</v>
      </c>
      <c r="Q27" s="22" t="str">
        <f>_xlfn.XLOOKUP(Q26,人员名单!$E:$E,人员名单!$B:$B)</f>
        <v>闫菊</v>
      </c>
      <c r="R27" s="22" t="str">
        <f>_xlfn.XLOOKUP(R26,人员名单!$E:$E,人员名单!$B:$B)</f>
        <v>李志超</v>
      </c>
      <c r="S27" s="22" t="str">
        <f>_xlfn.XLOOKUP(S26,人员名单!$E:$E,人员名单!$B:$B)</f>
        <v>王宁</v>
      </c>
      <c r="T27" s="22" t="str">
        <f>_xlfn.XLOOKUP(T26,人员名单!$E:$E,人员名单!$B:$B)</f>
        <v>贺讯</v>
      </c>
      <c r="U27" s="22" t="str">
        <f>_xlfn.XLOOKUP(U26,人员名单!$E:$E,人员名单!$B:$B)</f>
        <v>马英文</v>
      </c>
      <c r="V27" s="22" t="str">
        <f>_xlfn.XLOOKUP(V26,人员名单!$E:$E,人员名单!$B:$B)</f>
        <v>王志远</v>
      </c>
      <c r="W27" s="22" t="str">
        <f>_xlfn.XLOOKUP(W26,人员名单!$E:$E,人员名单!$B:$B)</f>
        <v>吴智深</v>
      </c>
      <c r="X27" s="22" t="str">
        <f>_xlfn.XLOOKUP(X26,人员名单!$E:$E,人员名单!$B:$B)</f>
        <v>刘植昌</v>
      </c>
      <c r="Y27" s="22" t="str">
        <f>_xlfn.XLOOKUP(Y26,人员名单!$E:$E,人员名单!$B:$B)</f>
        <v>殷敬伟</v>
      </c>
      <c r="Z27" s="22" t="str">
        <f>_xlfn.XLOOKUP(Z26,人员名单!$E:$E,人员名单!$B:$B)</f>
        <v>杜明</v>
      </c>
      <c r="AA27" s="22" t="str">
        <f>_xlfn.XLOOKUP(AA26,人员名单!$E:$E,人员名单!$B:$B)</f>
        <v>陈骏</v>
      </c>
      <c r="AB27" s="22" t="str">
        <f>_xlfn.XLOOKUP(AB26,人员名单!$E:$E,人员名单!$B:$B)</f>
        <v>林厚文</v>
      </c>
      <c r="AC27" s="22" t="str">
        <f>_xlfn.XLOOKUP(AC26,人员名单!$E:$E,人员名单!$B:$B)</f>
        <v>杨进</v>
      </c>
      <c r="AD27" s="22" t="str">
        <f>_xlfn.XLOOKUP(AD26,人员名单!$E:$E,人员名单!$B:$B)</f>
        <v>宋建忠</v>
      </c>
      <c r="AE27" s="22" t="str">
        <f>_xlfn.XLOOKUP(AE26,人员名单!$E:$E,人员名单!$B:$B)</f>
        <v>袁贞伟</v>
      </c>
      <c r="AF27" s="22" t="str">
        <f>_xlfn.XLOOKUP(AF26,人员名单!$E:$E,人员名单!$B:$B)</f>
        <v>乔钢</v>
      </c>
      <c r="AG27" s="22" t="str">
        <f>_xlfn.XLOOKUP(AG26,人员名单!$E:$E,人员名单!$B:$B)</f>
        <v>姚会强</v>
      </c>
      <c r="AH27" s="22" t="str">
        <f>_xlfn.XLOOKUP(AH26,人员名单!$E:$E,人员名单!$B:$B)</f>
        <v>何鑫</v>
      </c>
      <c r="AI27" s="22"/>
      <c r="AJ27" s="22" t="str">
        <f>_xlfn.XLOOKUP(AJ26,人员名单!$E:$E,人员名单!$B:$B)</f>
        <v> 汤华 </v>
      </c>
      <c r="AK27" s="22" t="str">
        <f>_xlfn.XLOOKUP(AK26,人员名单!$E:$E,人员名单!$B:$B)</f>
        <v>熊明磊</v>
      </c>
      <c r="AL27" s="22" t="str">
        <f>_xlfn.XLOOKUP(AL26,人员名单!$E:$E,人员名单!$B:$B)</f>
        <v>李晔</v>
      </c>
      <c r="AM27" s="22">
        <f>_xlfn.XLOOKUP(AM26,人员名单!$E:$E,人员名单!$B:$B)</f>
        <v>0</v>
      </c>
      <c r="AN27" s="22" t="str">
        <f>_xlfn.XLOOKUP(AN26,人员名单!$E:$E,人员名单!$B:$B)</f>
        <v>江景涛</v>
      </c>
      <c r="AO27" s="22" t="str">
        <f>_xlfn.XLOOKUP(AO26,人员名单!$E:$E,人员名单!$B:$B)</f>
        <v>王琳舒</v>
      </c>
      <c r="AP27" s="22" t="str">
        <f>_xlfn.XLOOKUP(AP26,人员名单!$E:$E,人员名单!$B:$B)</f>
        <v>陈传绪</v>
      </c>
      <c r="AQ27" s="22" t="str">
        <f>_xlfn.XLOOKUP(AQ26,人员名单!$E:$E,人员名单!$B:$B)</f>
        <v>丁见祥</v>
      </c>
      <c r="AR27" s="22" t="str">
        <f>_xlfn.XLOOKUP(AR26,人员名单!$E:$E,人员名单!$B:$B)</f>
        <v>韩道</v>
      </c>
      <c r="AS27" s="22" t="str">
        <f>_xlfn.XLOOKUP(AS26,人员名单!$E:$E,人员名单!$B:$B)</f>
        <v>罗辉</v>
      </c>
      <c r="AT27" s="22" t="str">
        <f>_xlfn.XLOOKUP(AT26,人员名单!$E:$E,人员名单!$B:$B)</f>
        <v>黄芳飞</v>
      </c>
      <c r="AW27" s="17"/>
    </row>
    <row r="28" spans="1:51">
      <c r="M28" s="16"/>
      <c r="N28" s="16"/>
      <c r="O28" s="19"/>
      <c r="AI28" s="20"/>
    </row>
    <row r="29" spans="1:51">
      <c r="A29" s="23" t="s">
        <v>514</v>
      </c>
      <c r="D29" s="18">
        <v>42</v>
      </c>
      <c r="E29" s="18">
        <v>41</v>
      </c>
      <c r="F29" s="18">
        <v>40</v>
      </c>
      <c r="G29" s="18">
        <v>39</v>
      </c>
      <c r="H29" s="18">
        <v>38</v>
      </c>
      <c r="I29" s="18">
        <v>37</v>
      </c>
      <c r="J29" s="18">
        <v>36</v>
      </c>
      <c r="K29" s="18">
        <v>35</v>
      </c>
      <c r="L29" s="18">
        <v>34</v>
      </c>
      <c r="M29" s="18">
        <v>33</v>
      </c>
      <c r="N29" s="18">
        <v>32</v>
      </c>
      <c r="O29" s="19"/>
      <c r="P29" s="18">
        <v>31</v>
      </c>
      <c r="Q29" s="18">
        <v>30</v>
      </c>
      <c r="R29" s="18">
        <v>29</v>
      </c>
      <c r="S29" s="18">
        <v>28</v>
      </c>
      <c r="T29" s="18">
        <v>27</v>
      </c>
      <c r="U29" s="18">
        <v>26</v>
      </c>
      <c r="V29" s="18">
        <v>25</v>
      </c>
      <c r="W29" s="18">
        <v>24</v>
      </c>
      <c r="X29" s="18">
        <v>23</v>
      </c>
      <c r="Y29" s="18">
        <v>22</v>
      </c>
      <c r="Z29" s="18">
        <v>21</v>
      </c>
      <c r="AA29" s="18">
        <v>20</v>
      </c>
      <c r="AB29" s="18">
        <v>19</v>
      </c>
      <c r="AC29" s="18">
        <v>18</v>
      </c>
      <c r="AD29" s="18">
        <v>17</v>
      </c>
      <c r="AE29" s="18">
        <v>16</v>
      </c>
      <c r="AF29" s="18">
        <v>15</v>
      </c>
      <c r="AG29" s="18">
        <v>14</v>
      </c>
      <c r="AH29" s="18">
        <v>13</v>
      </c>
      <c r="AI29" s="20"/>
      <c r="AJ29" s="18">
        <v>12</v>
      </c>
      <c r="AK29" s="18">
        <v>11</v>
      </c>
      <c r="AL29" s="18">
        <v>10</v>
      </c>
      <c r="AM29" s="18">
        <v>9</v>
      </c>
      <c r="AN29" s="18">
        <v>8</v>
      </c>
      <c r="AO29" s="18">
        <v>7</v>
      </c>
      <c r="AP29" s="18">
        <v>6</v>
      </c>
      <c r="AQ29" s="18">
        <v>5</v>
      </c>
      <c r="AR29" s="18">
        <v>4</v>
      </c>
      <c r="AS29" s="18">
        <v>3</v>
      </c>
      <c r="AT29" s="18">
        <v>2</v>
      </c>
      <c r="AW29" s="23" t="s">
        <v>514</v>
      </c>
      <c r="AY29" s="1">
        <v>41</v>
      </c>
    </row>
    <row r="30" spans="1:51">
      <c r="A30" s="23"/>
      <c r="D30" s="21">
        <v>169</v>
      </c>
      <c r="E30" s="21">
        <v>167</v>
      </c>
      <c r="F30" s="21">
        <v>165</v>
      </c>
      <c r="G30" s="21">
        <v>163</v>
      </c>
      <c r="H30" s="21">
        <v>161</v>
      </c>
      <c r="I30" s="21">
        <v>159</v>
      </c>
      <c r="J30" s="21">
        <v>157</v>
      </c>
      <c r="K30" s="21">
        <v>155</v>
      </c>
      <c r="L30" s="21">
        <v>153</v>
      </c>
      <c r="M30" s="21">
        <v>151</v>
      </c>
      <c r="N30" s="21">
        <v>149</v>
      </c>
      <c r="O30" s="19"/>
      <c r="P30" s="21">
        <v>147</v>
      </c>
      <c r="Q30" s="21">
        <v>145</v>
      </c>
      <c r="R30" s="21">
        <v>143</v>
      </c>
      <c r="S30" s="21">
        <v>141</v>
      </c>
      <c r="T30" s="21">
        <v>139</v>
      </c>
      <c r="U30" s="21">
        <v>137</v>
      </c>
      <c r="V30" s="21">
        <v>135</v>
      </c>
      <c r="W30" s="21">
        <v>133</v>
      </c>
      <c r="X30" s="21">
        <v>131</v>
      </c>
      <c r="Y30" s="21">
        <v>129</v>
      </c>
      <c r="Z30" s="21">
        <v>130</v>
      </c>
      <c r="AA30" s="21">
        <v>132</v>
      </c>
      <c r="AB30" s="21">
        <v>134</v>
      </c>
      <c r="AC30" s="21">
        <v>136</v>
      </c>
      <c r="AD30" s="21">
        <v>138</v>
      </c>
      <c r="AE30" s="21">
        <v>140</v>
      </c>
      <c r="AF30" s="21">
        <v>142</v>
      </c>
      <c r="AG30" s="21">
        <v>144</v>
      </c>
      <c r="AH30" s="21">
        <v>146</v>
      </c>
      <c r="AI30" s="20"/>
      <c r="AJ30" s="21">
        <v>148</v>
      </c>
      <c r="AK30" s="21">
        <v>150</v>
      </c>
      <c r="AL30" s="21">
        <v>152</v>
      </c>
      <c r="AM30" s="21">
        <v>154</v>
      </c>
      <c r="AN30" s="21">
        <v>156</v>
      </c>
      <c r="AO30" s="21">
        <v>158</v>
      </c>
      <c r="AP30" s="21">
        <v>160</v>
      </c>
      <c r="AQ30" s="21">
        <v>162</v>
      </c>
      <c r="AR30" s="21">
        <v>164</v>
      </c>
      <c r="AS30" s="21">
        <v>166</v>
      </c>
      <c r="AT30" s="21">
        <v>168</v>
      </c>
      <c r="AW30" s="23"/>
    </row>
    <row r="31" ht="64" customHeight="1" spans="1:51">
      <c r="A31" s="23"/>
      <c r="D31" s="22" t="str">
        <f>_xlfn.XLOOKUP(D30,人员名单!$E:$E,人员名单!$B:$B)</f>
        <v>刘廷</v>
      </c>
      <c r="E31" s="22" t="str">
        <f>_xlfn.XLOOKUP(E30,人员名单!$E:$E,人员名单!$B:$B)</f>
        <v>左蒋思之</v>
      </c>
      <c r="F31" s="22" t="str">
        <f>_xlfn.XLOOKUP(F30,人员名单!$E:$E,人员名单!$B:$B)</f>
        <v>焦方成</v>
      </c>
      <c r="G31" s="22" t="str">
        <f>_xlfn.XLOOKUP(G30,人员名单!$E:$E,人员名单!$B:$B)</f>
        <v>杨梅</v>
      </c>
      <c r="H31" s="22" t="str">
        <f>_xlfn.XLOOKUP(H30,人员名单!$E:$E,人员名单!$B:$B)</f>
        <v>王光耀</v>
      </c>
      <c r="I31" s="22" t="str">
        <f>_xlfn.XLOOKUP(I30,人员名单!$E:$E,人员名单!$B:$B)</f>
        <v>李芳芳</v>
      </c>
      <c r="J31" s="22" t="str">
        <f>_xlfn.XLOOKUP(J30,人员名单!$E:$E,人员名单!$B:$B)</f>
        <v>王佳</v>
      </c>
      <c r="K31" s="22" t="str">
        <f>_xlfn.XLOOKUP(K30,人员名单!$E:$E,人员名单!$B:$B)</f>
        <v>王飞</v>
      </c>
      <c r="L31" s="22" t="str">
        <f>_xlfn.XLOOKUP(L30,人员名单!$E:$E,人员名单!$B:$B)</f>
        <v>肖亚中</v>
      </c>
      <c r="M31" s="22" t="str">
        <f>_xlfn.XLOOKUP(M30,人员名单!$E:$E,人员名单!$B:$B)</f>
        <v>赵岚</v>
      </c>
      <c r="N31" s="22" t="str">
        <f>_xlfn.XLOOKUP(N30,人员名单!$E:$E,人员名单!$B:$B)</f>
        <v>魏斌</v>
      </c>
      <c r="O31" s="22"/>
      <c r="P31" s="22" t="str">
        <f>_xlfn.XLOOKUP(P30,人员名单!$E:$E,人员名单!$B:$B)</f>
        <v>宋丽</v>
      </c>
      <c r="Q31" s="22" t="str">
        <f>_xlfn.XLOOKUP(Q30,人员名单!$E:$E,人员名单!$B:$B)</f>
        <v>万春燕</v>
      </c>
      <c r="R31" s="22" t="str">
        <f>_xlfn.XLOOKUP(R30,人员名单!$E:$E,人员名单!$B:$B)</f>
        <v>赵学战</v>
      </c>
      <c r="S31" s="22" t="str">
        <f>_xlfn.XLOOKUP(S30,人员名单!$E:$E,人员名单!$B:$B)</f>
        <v>葛俊瑞</v>
      </c>
      <c r="T31" s="22" t="str">
        <f>_xlfn.XLOOKUP(T30,人员名单!$E:$E,人员名单!$B:$B)</f>
        <v>马永奇</v>
      </c>
      <c r="U31" s="22" t="str">
        <f>_xlfn.XLOOKUP(U30,人员名单!$E:$E,人员名单!$B:$B)</f>
        <v>洪炳沅</v>
      </c>
      <c r="V31" s="22" t="str">
        <f>_xlfn.XLOOKUP(V30,人员名单!$E:$E,人员名单!$B:$B)</f>
        <v>傅超</v>
      </c>
      <c r="W31" s="22" t="str">
        <f>_xlfn.XLOOKUP(W30,人员名单!$E:$E,人员名单!$B:$B)</f>
        <v>闫雪峰</v>
      </c>
      <c r="X31" s="22" t="str">
        <f>_xlfn.XLOOKUP(X30,人员名单!$E:$E,人员名单!$B:$B)</f>
        <v>宁伏龙</v>
      </c>
      <c r="Y31" s="22" t="str">
        <f>_xlfn.XLOOKUP(Y30,人员名单!$E:$E,人员名单!$B:$B)</f>
        <v>徐良</v>
      </c>
      <c r="Z31" s="22" t="str">
        <f>_xlfn.XLOOKUP(Z30,人员名单!$E:$E,人员名单!$B:$B)</f>
        <v>李冰</v>
      </c>
      <c r="AA31" s="22" t="str">
        <f>_xlfn.XLOOKUP(AA30,人员名单!$E:$E,人员名单!$B:$B)</f>
        <v>余涛</v>
      </c>
      <c r="AB31" s="22" t="str">
        <f>_xlfn.XLOOKUP(AB30,人员名单!$E:$E,人员名单!$B:$B)</f>
        <v>邓路</v>
      </c>
      <c r="AC31" s="22" t="str">
        <f>_xlfn.XLOOKUP(AC30,人员名单!$E:$E,人员名单!$B:$B)</f>
        <v>何淼</v>
      </c>
      <c r="AD31" s="22" t="str">
        <f>_xlfn.XLOOKUP(AD30,人员名单!$E:$E,人员名单!$B:$B)</f>
        <v>李沼萱</v>
      </c>
      <c r="AE31" s="22" t="str">
        <f>_xlfn.XLOOKUP(AE30,人员名单!$E:$E,人员名单!$B:$B)</f>
        <v>吴旭东</v>
      </c>
      <c r="AF31" s="22" t="str">
        <f>_xlfn.XLOOKUP(AF30,人员名单!$E:$E,人员名单!$B:$B)</f>
        <v>邓成辉</v>
      </c>
      <c r="AG31" s="22" t="str">
        <f>_xlfn.XLOOKUP(AG30,人员名单!$E:$E,人员名单!$B:$B)</f>
        <v>史海涛</v>
      </c>
      <c r="AH31" s="22" t="str">
        <f>_xlfn.XLOOKUP(AH30,人员名单!$E:$E,人员名单!$B:$B)</f>
        <v>李巍</v>
      </c>
      <c r="AI31" s="22"/>
      <c r="AJ31" s="22" t="str">
        <f>_xlfn.XLOOKUP(AJ30,人员名单!$E:$E,人员名单!$B:$B)</f>
        <v>王永华</v>
      </c>
      <c r="AK31" s="22" t="str">
        <f>_xlfn.XLOOKUP(AK30,人员名单!$E:$E,人员名单!$B:$B)</f>
        <v>贾晓晨  </v>
      </c>
      <c r="AL31" s="22" t="str">
        <f>_xlfn.XLOOKUP(AL30,人员名单!$E:$E,人员名单!$B:$B)</f>
        <v>何佳</v>
      </c>
      <c r="AM31" s="22" t="str">
        <f>_xlfn.XLOOKUP(AM30,人员名单!$E:$E,人员名单!$B:$B)</f>
        <v>王晨吟</v>
      </c>
      <c r="AN31" s="22" t="str">
        <f>_xlfn.XLOOKUP(AN30,人员名单!$E:$E,人员名单!$B:$B)</f>
        <v>匡冬山</v>
      </c>
      <c r="AO31" s="22" t="str">
        <f>_xlfn.XLOOKUP(AO30,人员名单!$E:$E,人员名单!$B:$B)</f>
        <v>郭建明</v>
      </c>
      <c r="AP31" s="22" t="str">
        <f>_xlfn.XLOOKUP(AP30,人员名单!$E:$E,人员名单!$B:$B)</f>
        <v>王方华</v>
      </c>
      <c r="AQ31" s="22" t="str">
        <f>_xlfn.XLOOKUP(AQ30,人员名单!$E:$E,人员名单!$B:$B)</f>
        <v>程博</v>
      </c>
      <c r="AR31" s="22" t="str">
        <f>_xlfn.XLOOKUP(AR30,人员名单!$E:$E,人员名单!$B:$B)</f>
        <v>刘佩</v>
      </c>
      <c r="AS31" s="22" t="str">
        <f>_xlfn.XLOOKUP(AS30,人员名单!$E:$E,人员名单!$B:$B)</f>
        <v>蓝东明</v>
      </c>
      <c r="AT31" s="22" t="str">
        <f>_xlfn.XLOOKUP(AT30,人员名单!$E:$E,人员名单!$B:$B)</f>
        <v>汪志能</v>
      </c>
      <c r="AW31" s="23"/>
    </row>
    <row r="32" spans="1:51">
      <c r="D32" s="1" t="s">
        <v>515</v>
      </c>
      <c r="M32" s="16"/>
      <c r="N32" s="16" t="s">
        <v>516</v>
      </c>
      <c r="O32" s="19"/>
      <c r="AI32" s="20"/>
      <c r="AJ32" s="1" t="s">
        <v>515</v>
      </c>
      <c r="AT32" s="1" t="s">
        <v>516</v>
      </c>
    </row>
    <row r="33" spans="1:53">
      <c r="A33" s="17" t="s">
        <v>517</v>
      </c>
      <c r="C33" s="18">
        <v>44</v>
      </c>
      <c r="D33" s="18">
        <v>43</v>
      </c>
      <c r="E33" s="18">
        <v>42</v>
      </c>
      <c r="F33" s="18">
        <v>41</v>
      </c>
      <c r="G33" s="18">
        <v>40</v>
      </c>
      <c r="H33" s="18">
        <v>39</v>
      </c>
      <c r="I33" s="18">
        <v>38</v>
      </c>
      <c r="J33" s="18">
        <v>37</v>
      </c>
      <c r="K33" s="18">
        <v>36</v>
      </c>
      <c r="L33" s="18">
        <v>35</v>
      </c>
      <c r="M33" s="18">
        <v>34</v>
      </c>
      <c r="N33" s="18">
        <v>33</v>
      </c>
      <c r="O33" s="19"/>
      <c r="P33" s="18">
        <v>32</v>
      </c>
      <c r="Q33" s="18">
        <v>31</v>
      </c>
      <c r="R33" s="18">
        <v>30</v>
      </c>
      <c r="S33" s="18">
        <v>29</v>
      </c>
      <c r="T33" s="18">
        <v>28</v>
      </c>
      <c r="U33" s="18">
        <v>27</v>
      </c>
      <c r="V33" s="18">
        <v>26</v>
      </c>
      <c r="W33" s="18">
        <v>25</v>
      </c>
      <c r="X33" s="18">
        <v>24</v>
      </c>
      <c r="Y33" s="18">
        <v>23</v>
      </c>
      <c r="Z33" s="18">
        <v>22</v>
      </c>
      <c r="AA33" s="18">
        <v>21</v>
      </c>
      <c r="AB33" s="18">
        <v>20</v>
      </c>
      <c r="AC33" s="18">
        <v>19</v>
      </c>
      <c r="AD33" s="18">
        <v>18</v>
      </c>
      <c r="AE33" s="18">
        <v>17</v>
      </c>
      <c r="AF33" s="18">
        <v>16</v>
      </c>
      <c r="AG33" s="18">
        <v>15</v>
      </c>
      <c r="AH33" s="18">
        <v>14</v>
      </c>
      <c r="AI33" s="20"/>
      <c r="AJ33" s="18">
        <v>13</v>
      </c>
      <c r="AK33" s="18">
        <v>12</v>
      </c>
      <c r="AL33" s="18">
        <v>11</v>
      </c>
      <c r="AM33" s="18">
        <v>10</v>
      </c>
      <c r="AN33" s="18">
        <v>9</v>
      </c>
      <c r="AO33" s="18">
        <v>8</v>
      </c>
      <c r="AP33" s="18">
        <v>7</v>
      </c>
      <c r="AQ33" s="18">
        <v>6</v>
      </c>
      <c r="AR33" s="18">
        <v>5</v>
      </c>
      <c r="AS33" s="18">
        <v>4</v>
      </c>
      <c r="AT33" s="18">
        <v>3</v>
      </c>
      <c r="AU33" s="18">
        <v>2</v>
      </c>
      <c r="AW33" s="17" t="s">
        <v>517</v>
      </c>
      <c r="AY33" s="1">
        <v>43</v>
      </c>
    </row>
    <row r="34" spans="1:53">
      <c r="A34" s="17"/>
      <c r="C34" s="21">
        <v>212</v>
      </c>
      <c r="D34" s="21">
        <v>210</v>
      </c>
      <c r="E34" s="21">
        <v>208</v>
      </c>
      <c r="F34" s="21">
        <v>206</v>
      </c>
      <c r="G34" s="21">
        <v>204</v>
      </c>
      <c r="H34" s="21">
        <v>202</v>
      </c>
      <c r="I34" s="21">
        <v>200</v>
      </c>
      <c r="J34" s="21">
        <v>198</v>
      </c>
      <c r="K34" s="21">
        <v>196</v>
      </c>
      <c r="L34" s="21">
        <v>194</v>
      </c>
      <c r="M34" s="21">
        <v>192</v>
      </c>
      <c r="N34" s="21">
        <v>190</v>
      </c>
      <c r="O34" s="19"/>
      <c r="P34" s="21">
        <v>188</v>
      </c>
      <c r="Q34" s="21">
        <v>186</v>
      </c>
      <c r="R34" s="21">
        <v>184</v>
      </c>
      <c r="S34" s="21">
        <v>182</v>
      </c>
      <c r="T34" s="21">
        <v>180</v>
      </c>
      <c r="U34" s="21">
        <v>178</v>
      </c>
      <c r="V34" s="21">
        <v>176</v>
      </c>
      <c r="W34" s="21">
        <v>174</v>
      </c>
      <c r="X34" s="21">
        <v>172</v>
      </c>
      <c r="Y34" s="21">
        <v>170</v>
      </c>
      <c r="Z34" s="21">
        <v>171</v>
      </c>
      <c r="AA34" s="21">
        <v>173</v>
      </c>
      <c r="AB34" s="21">
        <v>175</v>
      </c>
      <c r="AC34" s="21">
        <v>177</v>
      </c>
      <c r="AD34" s="21">
        <v>179</v>
      </c>
      <c r="AE34" s="21">
        <v>181</v>
      </c>
      <c r="AF34" s="21">
        <v>183</v>
      </c>
      <c r="AG34" s="21">
        <v>185</v>
      </c>
      <c r="AH34" s="21">
        <v>187</v>
      </c>
      <c r="AI34" s="20"/>
      <c r="AJ34" s="21">
        <v>189</v>
      </c>
      <c r="AK34" s="21">
        <v>191</v>
      </c>
      <c r="AL34" s="21">
        <v>193</v>
      </c>
      <c r="AM34" s="21">
        <v>195</v>
      </c>
      <c r="AN34" s="21">
        <v>197</v>
      </c>
      <c r="AO34" s="21">
        <v>199</v>
      </c>
      <c r="AP34" s="21">
        <v>201</v>
      </c>
      <c r="AQ34" s="21">
        <v>203</v>
      </c>
      <c r="AR34" s="21">
        <v>205</v>
      </c>
      <c r="AS34" s="21">
        <v>207</v>
      </c>
      <c r="AT34" s="21">
        <v>209</v>
      </c>
      <c r="AU34" s="21">
        <v>211</v>
      </c>
      <c r="AW34" s="17"/>
    </row>
    <row r="35" ht="50" customHeight="1" spans="1:53">
      <c r="A35" s="17"/>
      <c r="C35" s="22" t="str">
        <f>_xlfn.XLOOKUP(C34,人员名单!$E:$E,人员名单!$B:$B)</f>
        <v>韩默</v>
      </c>
      <c r="D35" s="22" t="str">
        <f>_xlfn.XLOOKUP(D34,人员名单!$E:$E,人员名单!$B:$B)</f>
        <v>吴国俊</v>
      </c>
      <c r="E35" s="22" t="str">
        <f>_xlfn.XLOOKUP(E34,人员名单!$E:$E,人员名单!$B:$B)</f>
        <v>陈浩</v>
      </c>
      <c r="F35" s="22" t="str">
        <f>_xlfn.XLOOKUP(F34,人员名单!$E:$E,人员名单!$B:$B)</f>
        <v>骆祝华</v>
      </c>
      <c r="G35" s="22" t="str">
        <f>_xlfn.XLOOKUP(G34,人员名单!$E:$E,人员名单!$B:$B)</f>
        <v>寿佳琦</v>
      </c>
      <c r="H35" s="22" t="str">
        <f>_xlfn.XLOOKUP(H34,人员名单!$E:$E,人员名单!$B:$B)</f>
        <v>陈柔汐</v>
      </c>
      <c r="I35" s="22" t="str">
        <f>_xlfn.XLOOKUP(I34,人员名单!$E:$E,人员名单!$B:$B)</f>
        <v>赵荦</v>
      </c>
      <c r="J35" s="22" t="str">
        <f>_xlfn.XLOOKUP(J34,人员名单!$E:$E,人员名单!$B:$B)</f>
        <v>刘丽娜</v>
      </c>
      <c r="K35" s="22" t="str">
        <f>_xlfn.XLOOKUP(K34,人员名单!$E:$E,人员名单!$B:$B)</f>
        <v>牛荻涛</v>
      </c>
      <c r="L35" s="22" t="str">
        <f>_xlfn.XLOOKUP(L34,人员名单!$E:$E,人员名单!$B:$B)</f>
        <v>史宏达</v>
      </c>
      <c r="M35" s="22" t="str">
        <f>_xlfn.XLOOKUP(M34,人员名单!$E:$E,人员名单!$B:$B)</f>
        <v>刘淼</v>
      </c>
      <c r="N35" s="22" t="str">
        <f>_xlfn.XLOOKUP(N34,人员名单!$E:$E,人员名单!$B:$B)</f>
        <v>吴坤苗</v>
      </c>
      <c r="O35" s="22"/>
      <c r="P35" s="22" t="str">
        <f>_xlfn.XLOOKUP(P34,人员名单!$E:$E,人员名单!$B:$B)</f>
        <v>张露</v>
      </c>
      <c r="Q35" s="22" t="str">
        <f>_xlfn.XLOOKUP(Q34,人员名单!$E:$E,人员名单!$B:$B)</f>
        <v>邓意达</v>
      </c>
      <c r="R35" s="22" t="str">
        <f>_xlfn.XLOOKUP(R34,人员名单!$E:$E,人员名单!$B:$B)</f>
        <v>孟荣</v>
      </c>
      <c r="S35" s="22" t="str">
        <f>_xlfn.XLOOKUP(S34,人员名单!$E:$E,人员名单!$B:$B)</f>
        <v>赖增福</v>
      </c>
      <c r="T35" s="22" t="str">
        <f>_xlfn.XLOOKUP(T34,人员名单!$E:$E,人员名单!$B:$B)</f>
        <v>刘良斌</v>
      </c>
      <c r="U35" s="22" t="str">
        <f>_xlfn.XLOOKUP(U34,人员名单!$E:$E,人员名单!$B:$B)</f>
        <v>康贵柱</v>
      </c>
      <c r="V35" s="22" t="str">
        <f>_xlfn.XLOOKUP(V34,人员名单!$E:$E,人员名单!$B:$B)</f>
        <v>赵凯歌</v>
      </c>
      <c r="W35" s="22" t="str">
        <f>_xlfn.XLOOKUP(W34,人员名单!$E:$E,人员名单!$B:$B)</f>
        <v>刘松堂</v>
      </c>
      <c r="X35" s="22" t="str">
        <f>_xlfn.XLOOKUP(X34,人员名单!$E:$E,人员名单!$B:$B)</f>
        <v>尹希杰</v>
      </c>
      <c r="Y35" s="22" t="str">
        <f>_xlfn.XLOOKUP(Y34,人员名单!$E:$E,人员名单!$B:$B)</f>
        <v>任年鑫</v>
      </c>
      <c r="Z35" s="22" t="str">
        <f>_xlfn.XLOOKUP(Z34,人员名单!$E:$E,人员名单!$B:$B)</f>
        <v>邹飞</v>
      </c>
      <c r="AA35" s="22" t="str">
        <f>_xlfn.XLOOKUP(AA34,人员名单!$E:$E,人员名单!$B:$B)</f>
        <v>张飞</v>
      </c>
      <c r="AB35" s="22" t="str">
        <f>_xlfn.XLOOKUP(AB34,人员名单!$E:$E,人员名单!$B:$B)</f>
        <v>韦革</v>
      </c>
      <c r="AC35" s="22" t="str">
        <f>_xlfn.XLOOKUP(AC34,人员名单!$E:$E,人员名单!$B:$B)</f>
        <v>罗申</v>
      </c>
      <c r="AD35" s="22" t="str">
        <f>_xlfn.XLOOKUP(AD34,人员名单!$E:$E,人员名单!$B:$B)</f>
        <v>刘万才</v>
      </c>
      <c r="AE35" s="22" t="str">
        <f>_xlfn.XLOOKUP(AE34,人员名单!$E:$E,人员名单!$B:$B)</f>
        <v>张超</v>
      </c>
      <c r="AF35" s="22" t="str">
        <f>_xlfn.XLOOKUP(AF34,人员名单!$E:$E,人员名单!$B:$B)</f>
        <v>陈诚</v>
      </c>
      <c r="AG35" s="22" t="str">
        <f>_xlfn.XLOOKUP(AG34,人员名单!$E:$E,人员名单!$B:$B)</f>
        <v>任文高</v>
      </c>
      <c r="AH35" s="22" t="str">
        <f>_xlfn.XLOOKUP(AH34,人员名单!$E:$E,人员名单!$B:$B)</f>
        <v>冯学标</v>
      </c>
      <c r="AI35" s="22"/>
      <c r="AJ35" s="22" t="str">
        <f>_xlfn.XLOOKUP(AJ34,人员名单!$E:$E,人员名单!$B:$B)</f>
        <v>林够够</v>
      </c>
      <c r="AK35" s="22" t="str">
        <f>_xlfn.XLOOKUP(AK34,人员名单!$E:$E,人员名单!$B:$B)</f>
        <v>金涛</v>
      </c>
      <c r="AL35" s="22" t="str">
        <f>_xlfn.XLOOKUP(AL34,人员名单!$E:$E,人员名单!$B:$B)</f>
        <v>余凤玲</v>
      </c>
      <c r="AM35" s="22" t="str">
        <f>_xlfn.XLOOKUP(AM34,人员名单!$E:$E,人员名单!$B:$B)</f>
        <v>全向前</v>
      </c>
      <c r="AN35" s="22" t="str">
        <f>_xlfn.XLOOKUP(AN34,人员名单!$E:$E,人员名单!$B:$B)</f>
        <v>徐明奇</v>
      </c>
      <c r="AO35" s="22" t="str">
        <f>_xlfn.XLOOKUP(AO34,人员名单!$E:$E,人员名单!$B:$B)</f>
        <v>谢西营</v>
      </c>
      <c r="AP35" s="22" t="str">
        <f>_xlfn.XLOOKUP(AP34,人员名单!$E:$E,人员名单!$B:$B)</f>
        <v>黎瀚博</v>
      </c>
      <c r="AQ35" s="22" t="str">
        <f>_xlfn.XLOOKUP(AQ34,人员名单!$E:$E,人员名单!$B:$B)</f>
        <v>李东风</v>
      </c>
      <c r="AR35" s="22" t="str">
        <f>_xlfn.XLOOKUP(AR34,人员名单!$E:$E,人员名单!$B:$B)</f>
        <v>索安宁</v>
      </c>
      <c r="AS35" s="22" t="str">
        <f>_xlfn.XLOOKUP(AS34,人员名单!$E:$E,人员名单!$B:$B)</f>
        <v>黄开耀</v>
      </c>
      <c r="AT35" s="22" t="str">
        <f>_xlfn.XLOOKUP(AT34,人员名单!$E:$E,人员名单!$B:$B)</f>
        <v>许路</v>
      </c>
      <c r="AU35" s="22" t="str">
        <f>_xlfn.XLOOKUP(AU34,人员名单!$E:$E,人员名单!$B:$B)</f>
        <v>张小波</v>
      </c>
      <c r="AW35" s="17"/>
    </row>
    <row r="36" spans="1:53">
      <c r="M36" s="16"/>
      <c r="N36" s="16"/>
      <c r="O36" s="19"/>
      <c r="AI36" s="20"/>
    </row>
    <row r="37" spans="1:53">
      <c r="A37" s="23" t="s">
        <v>518</v>
      </c>
      <c r="D37" s="18">
        <v>42</v>
      </c>
      <c r="E37" s="18">
        <v>41</v>
      </c>
      <c r="F37" s="18">
        <v>40</v>
      </c>
      <c r="G37" s="18">
        <v>39</v>
      </c>
      <c r="H37" s="18">
        <v>38</v>
      </c>
      <c r="I37" s="18">
        <v>37</v>
      </c>
      <c r="J37" s="18">
        <v>36</v>
      </c>
      <c r="K37" s="18">
        <v>35</v>
      </c>
      <c r="L37" s="18">
        <v>34</v>
      </c>
      <c r="M37" s="18">
        <v>33</v>
      </c>
      <c r="N37" s="18">
        <v>32</v>
      </c>
      <c r="O37" s="19"/>
      <c r="P37" s="18">
        <v>31</v>
      </c>
      <c r="Q37" s="18">
        <v>30</v>
      </c>
      <c r="R37" s="18">
        <v>29</v>
      </c>
      <c r="S37" s="18">
        <v>28</v>
      </c>
      <c r="T37" s="18">
        <v>27</v>
      </c>
      <c r="U37" s="18">
        <v>26</v>
      </c>
      <c r="V37" s="18">
        <v>25</v>
      </c>
      <c r="W37" s="18">
        <v>24</v>
      </c>
      <c r="X37" s="18">
        <v>23</v>
      </c>
      <c r="Y37" s="18">
        <v>22</v>
      </c>
      <c r="Z37" s="18">
        <v>21</v>
      </c>
      <c r="AA37" s="18">
        <v>20</v>
      </c>
      <c r="AB37" s="18">
        <v>19</v>
      </c>
      <c r="AC37" s="18">
        <v>18</v>
      </c>
      <c r="AD37" s="18">
        <v>17</v>
      </c>
      <c r="AE37" s="18">
        <v>16</v>
      </c>
      <c r="AF37" s="18">
        <v>15</v>
      </c>
      <c r="AG37" s="18">
        <v>14</v>
      </c>
      <c r="AH37" s="18">
        <v>13</v>
      </c>
      <c r="AI37" s="20"/>
      <c r="AJ37" s="18">
        <v>12</v>
      </c>
      <c r="AK37" s="18">
        <v>11</v>
      </c>
      <c r="AL37" s="18">
        <v>10</v>
      </c>
      <c r="AM37" s="18">
        <v>9</v>
      </c>
      <c r="AN37" s="18">
        <v>8</v>
      </c>
      <c r="AO37" s="18">
        <v>7</v>
      </c>
      <c r="AP37" s="18">
        <v>6</v>
      </c>
      <c r="AQ37" s="18">
        <v>5</v>
      </c>
      <c r="AR37" s="18">
        <v>4</v>
      </c>
      <c r="AS37" s="18">
        <v>3</v>
      </c>
      <c r="AT37" s="18">
        <v>2</v>
      </c>
      <c r="AW37" s="23" t="s">
        <v>518</v>
      </c>
      <c r="AY37" s="1">
        <v>41</v>
      </c>
    </row>
    <row r="38" spans="1:53">
      <c r="A38" s="23"/>
      <c r="D38" s="25">
        <v>253</v>
      </c>
      <c r="E38" s="25">
        <v>251</v>
      </c>
      <c r="F38" s="25">
        <v>249</v>
      </c>
      <c r="G38" s="25">
        <v>247</v>
      </c>
      <c r="H38" s="25">
        <v>245</v>
      </c>
      <c r="I38" s="25">
        <v>243</v>
      </c>
      <c r="J38" s="25">
        <v>241</v>
      </c>
      <c r="K38" s="25">
        <v>239</v>
      </c>
      <c r="L38" s="25">
        <v>237</v>
      </c>
      <c r="M38" s="25">
        <v>235</v>
      </c>
      <c r="N38" s="25">
        <v>233</v>
      </c>
      <c r="O38" s="19"/>
      <c r="P38" s="25">
        <v>231</v>
      </c>
      <c r="Q38" s="25">
        <v>229</v>
      </c>
      <c r="R38" s="25">
        <v>227</v>
      </c>
      <c r="S38" s="25">
        <v>225</v>
      </c>
      <c r="T38" s="25">
        <v>223</v>
      </c>
      <c r="U38" s="25">
        <v>221</v>
      </c>
      <c r="V38" s="25">
        <v>219</v>
      </c>
      <c r="W38" s="25">
        <v>217</v>
      </c>
      <c r="X38" s="25">
        <v>215</v>
      </c>
      <c r="Y38" s="25">
        <v>213</v>
      </c>
      <c r="Z38" s="25">
        <v>214</v>
      </c>
      <c r="AA38" s="25">
        <v>216</v>
      </c>
      <c r="AB38" s="25">
        <v>218</v>
      </c>
      <c r="AC38" s="25">
        <v>220</v>
      </c>
      <c r="AD38" s="25">
        <v>222</v>
      </c>
      <c r="AE38" s="25">
        <v>224</v>
      </c>
      <c r="AF38" s="25">
        <v>226</v>
      </c>
      <c r="AG38" s="25">
        <v>228</v>
      </c>
      <c r="AH38" s="25">
        <v>230</v>
      </c>
      <c r="AI38" s="20"/>
      <c r="AJ38" s="25">
        <v>232</v>
      </c>
      <c r="AK38" s="25">
        <v>234</v>
      </c>
      <c r="AL38" s="25">
        <v>236</v>
      </c>
      <c r="AM38" s="25">
        <v>238</v>
      </c>
      <c r="AN38" s="25">
        <v>240</v>
      </c>
      <c r="AO38" s="25">
        <v>242</v>
      </c>
      <c r="AP38" s="25">
        <v>244</v>
      </c>
      <c r="AQ38" s="25">
        <v>246</v>
      </c>
      <c r="AR38" s="25">
        <v>248</v>
      </c>
      <c r="AS38" s="25">
        <v>250</v>
      </c>
      <c r="AT38" s="25">
        <v>252</v>
      </c>
      <c r="AW38" s="23"/>
      <c r="BA38" s="1">
        <v>30</v>
      </c>
    </row>
    <row r="39" ht="67" customHeight="1" spans="1:53">
      <c r="A39" s="23"/>
      <c r="D39" s="26" t="e">
        <f>_xlfn.XLOOKUP(D38,人员名单!$E:$E,人员名单!$B:$B)</f>
        <v>#N/A</v>
      </c>
      <c r="E39" s="26" t="e">
        <f>_xlfn.XLOOKUP(E38,人员名单!$E:$E,人员名单!$B:$B)</f>
        <v>#N/A</v>
      </c>
      <c r="F39" s="26" t="e">
        <f>_xlfn.XLOOKUP(F38,人员名单!$E:$E,人员名单!$B:$B)</f>
        <v>#N/A</v>
      </c>
      <c r="G39" s="26" t="e">
        <f>_xlfn.XLOOKUP(G38,人员名单!$E:$E,人员名单!$B:$B)</f>
        <v>#N/A</v>
      </c>
      <c r="H39" s="26" t="e">
        <f>_xlfn.XLOOKUP(H38,人员名单!$E:$E,人员名单!$B:$B)</f>
        <v>#N/A</v>
      </c>
      <c r="I39" s="27" t="e">
        <f>_xlfn.XLOOKUP(I38,人员名单!$E:$E,人员名单!$B:$B)</f>
        <v>#N/A</v>
      </c>
      <c r="J39" s="27" t="e">
        <f>_xlfn.XLOOKUP(J38,人员名单!$E:$E,人员名单!$B:$B)</f>
        <v>#N/A</v>
      </c>
      <c r="K39" s="27" t="e">
        <f>_xlfn.XLOOKUP(K38,人员名单!$E:$E,人员名单!$B:$B)</f>
        <v>#N/A</v>
      </c>
      <c r="L39" s="27" t="e">
        <f>_xlfn.XLOOKUP(L38,人员名单!$E:$E,人员名单!$B:$B)</f>
        <v>#N/A</v>
      </c>
      <c r="M39" s="27" t="e">
        <f>_xlfn.XLOOKUP(M38,人员名单!$E:$E,人员名单!$B:$B)</f>
        <v>#N/A</v>
      </c>
      <c r="N39" s="27" t="e">
        <f>_xlfn.XLOOKUP(N38,人员名单!$E:$E,人员名单!$B:$B)</f>
        <v>#N/A</v>
      </c>
      <c r="O39" s="22"/>
      <c r="P39" s="28" t="e">
        <f>_xlfn.XLOOKUP(P38,人员名单!$E:$E,人员名单!$B:$B)</f>
        <v>#N/A</v>
      </c>
      <c r="Q39" s="28" t="e">
        <f>_xlfn.XLOOKUP(Q38,人员名单!$E:$E,人员名单!$B:$B)</f>
        <v>#N/A</v>
      </c>
      <c r="R39" s="28" t="e">
        <f>_xlfn.XLOOKUP(R38,人员名单!$E:$E,人员名单!$B:$B)</f>
        <v>#N/A</v>
      </c>
      <c r="S39" s="22" t="str">
        <f>_xlfn.XLOOKUP(S38,人员名单!$E:$E,人员名单!$B:$B)</f>
        <v>陈柔汐</v>
      </c>
      <c r="T39" s="22" t="str">
        <f>_xlfn.XLOOKUP(T38,人员名单!$E:$E,人员名单!$B:$B)</f>
        <v>张晓伟</v>
      </c>
      <c r="U39" s="22" t="str">
        <f>_xlfn.XLOOKUP(U38,人员名单!$E:$E,人员名单!$B:$B)</f>
        <v>易昌华</v>
      </c>
      <c r="V39" s="22" t="str">
        <f>_xlfn.XLOOKUP(V38,人员名单!$E:$E,人员名单!$B:$B)</f>
        <v>林金虎</v>
      </c>
      <c r="W39" s="22" t="str">
        <f>_xlfn.XLOOKUP(W38,人员名单!$E:$E,人员名单!$B:$B)</f>
        <v>陈崇瑜</v>
      </c>
      <c r="X39" s="22" t="str">
        <f>_xlfn.XLOOKUP(X38,人员名单!$E:$E,人员名单!$B:$B)</f>
        <v>熊爱武</v>
      </c>
      <c r="Y39" s="22" t="str">
        <f>_xlfn.XLOOKUP(Y38,人员名单!$E:$E,人员名单!$B:$B)</f>
        <v>曹景超</v>
      </c>
      <c r="Z39" s="22" t="str">
        <f>_xlfn.XLOOKUP(Z38,人员名单!$E:$E,人员名单!$B:$B)</f>
        <v>卜汉文</v>
      </c>
      <c r="AA39" s="22" t="str">
        <f>_xlfn.XLOOKUP(AA38,人员名单!$E:$E,人员名单!$B:$B)</f>
        <v>张文金</v>
      </c>
      <c r="AB39" s="22" t="str">
        <f>_xlfn.XLOOKUP(AB38,人员名单!$E:$E,人员名单!$B:$B)</f>
        <v>宋玉群</v>
      </c>
      <c r="AC39" s="22" t="str">
        <f>_xlfn.XLOOKUP(AC38,人员名单!$E:$E,人员名单!$B:$B)</f>
        <v>臧曙光</v>
      </c>
      <c r="AD39" s="22" t="str">
        <f>_xlfn.XLOOKUP(AD38,人员名单!$E:$E,人员名单!$B:$B)</f>
        <v>陈泽海</v>
      </c>
      <c r="AE39" s="22" t="str">
        <f>_xlfn.XLOOKUP(AE38,人员名单!$E:$E,人员名单!$B:$B)</f>
        <v>黎瀚博</v>
      </c>
      <c r="AF39" s="22" t="str">
        <f>_xlfn.XLOOKUP(AF38,人员名单!$E:$E,人员名单!$B:$B)</f>
        <v>韩 默</v>
      </c>
      <c r="AG39" s="91" t="s">
        <v>519</v>
      </c>
      <c r="AH39" s="29" t="e">
        <f>_xlfn.XLOOKUP(AH38,人员名单!$E:$E,人员名单!$B:$B)</f>
        <v>#N/A</v>
      </c>
      <c r="AI39" s="22"/>
      <c r="AJ39" s="29" t="e">
        <f>_xlfn.XLOOKUP(AJ38,人员名单!$E:$E,人员名单!$B:$B)</f>
        <v>#N/A</v>
      </c>
      <c r="AK39" s="29" t="e">
        <f>_xlfn.XLOOKUP(AK38,人员名单!$E:$E,人员名单!$B:$B)</f>
        <v>#N/A</v>
      </c>
      <c r="AL39" s="30" t="e">
        <f>_xlfn.XLOOKUP(AL38,人员名单!$E:$E,人员名单!$B:$B)</f>
        <v>#N/A</v>
      </c>
      <c r="AM39" s="30" t="e">
        <f>_xlfn.XLOOKUP(AM38,人员名单!$E:$E,人员名单!$B:$B)</f>
        <v>#N/A</v>
      </c>
      <c r="AN39" s="30" t="e">
        <f>_xlfn.XLOOKUP(AN38,人员名单!$E:$E,人员名单!$B:$B)</f>
        <v>#N/A</v>
      </c>
      <c r="AO39" s="30" t="e">
        <f>_xlfn.XLOOKUP(AO38,人员名单!$E:$E,人员名单!$B:$B)</f>
        <v>#N/A</v>
      </c>
      <c r="AP39" s="30" t="e">
        <f>_xlfn.XLOOKUP(AP38,人员名单!$E:$E,人员名单!$B:$B)</f>
        <v>#N/A</v>
      </c>
      <c r="AQ39" s="31" t="e">
        <f>_xlfn.XLOOKUP(AQ38,人员名单!$E:$E,人员名单!$B:$B)</f>
        <v>#N/A</v>
      </c>
      <c r="AR39" s="31" t="e">
        <f>_xlfn.XLOOKUP(AR38,人员名单!$E:$E,人员名单!$B:$B)</f>
        <v>#N/A</v>
      </c>
      <c r="AS39" s="31" t="e">
        <f>_xlfn.XLOOKUP(AS38,人员名单!$E:$E,人员名单!$B:$B)</f>
        <v>#N/A</v>
      </c>
      <c r="AT39" s="31" t="e">
        <f>_xlfn.XLOOKUP(AT38,人员名单!$E:$E,人员名单!$B:$B)</f>
        <v>#N/A</v>
      </c>
      <c r="AW39" s="23"/>
    </row>
    <row r="40" spans="1:53">
      <c r="M40" s="16"/>
      <c r="N40" s="16"/>
      <c r="O40" s="19"/>
      <c r="AI40" s="20"/>
    </row>
    <row r="41" spans="1:53">
      <c r="A41" s="17" t="s">
        <v>520</v>
      </c>
      <c r="D41" s="18">
        <v>42</v>
      </c>
      <c r="E41" s="18">
        <v>41</v>
      </c>
      <c r="F41" s="18">
        <v>40</v>
      </c>
      <c r="G41" s="18">
        <v>39</v>
      </c>
      <c r="H41" s="18">
        <v>38</v>
      </c>
      <c r="I41" s="18">
        <v>37</v>
      </c>
      <c r="J41" s="18">
        <v>36</v>
      </c>
      <c r="K41" s="18">
        <v>35</v>
      </c>
      <c r="L41" s="18">
        <v>34</v>
      </c>
      <c r="M41" s="18">
        <v>33</v>
      </c>
      <c r="N41" s="18">
        <v>32</v>
      </c>
      <c r="O41" s="19"/>
      <c r="P41" s="18">
        <v>31</v>
      </c>
      <c r="Q41" s="18">
        <v>30</v>
      </c>
      <c r="R41" s="18">
        <v>29</v>
      </c>
      <c r="S41" s="18">
        <v>28</v>
      </c>
      <c r="T41" s="18">
        <v>27</v>
      </c>
      <c r="U41" s="18">
        <v>26</v>
      </c>
      <c r="V41" s="18">
        <v>25</v>
      </c>
      <c r="W41" s="18">
        <v>24</v>
      </c>
      <c r="X41" s="18">
        <v>23</v>
      </c>
      <c r="Y41" s="18">
        <v>22</v>
      </c>
      <c r="Z41" s="18">
        <v>21</v>
      </c>
      <c r="AA41" s="18">
        <v>20</v>
      </c>
      <c r="AB41" s="18">
        <v>19</v>
      </c>
      <c r="AC41" s="18">
        <v>18</v>
      </c>
      <c r="AD41" s="18">
        <v>17</v>
      </c>
      <c r="AE41" s="18">
        <v>16</v>
      </c>
      <c r="AF41" s="18">
        <v>15</v>
      </c>
      <c r="AG41" s="18">
        <v>14</v>
      </c>
      <c r="AH41" s="18">
        <v>13</v>
      </c>
      <c r="AI41" s="20"/>
      <c r="AJ41" s="18">
        <v>12</v>
      </c>
      <c r="AK41" s="18">
        <v>11</v>
      </c>
      <c r="AL41" s="18">
        <v>10</v>
      </c>
      <c r="AM41" s="18">
        <v>9</v>
      </c>
      <c r="AN41" s="18">
        <v>8</v>
      </c>
      <c r="AO41" s="18">
        <v>7</v>
      </c>
      <c r="AP41" s="18">
        <v>6</v>
      </c>
      <c r="AQ41" s="18">
        <v>5</v>
      </c>
      <c r="AR41" s="18">
        <v>4</v>
      </c>
      <c r="AS41" s="18">
        <v>3</v>
      </c>
      <c r="AT41" s="18">
        <v>2</v>
      </c>
      <c r="AW41" s="17" t="s">
        <v>520</v>
      </c>
      <c r="AY41" s="1">
        <v>41</v>
      </c>
    </row>
    <row r="42" spans="1:53">
      <c r="A42" s="17"/>
      <c r="D42" s="25">
        <v>294</v>
      </c>
      <c r="E42" s="25">
        <v>292</v>
      </c>
      <c r="F42" s="25">
        <v>290</v>
      </c>
      <c r="G42" s="25">
        <v>288</v>
      </c>
      <c r="H42" s="25">
        <v>286</v>
      </c>
      <c r="I42" s="25">
        <v>284</v>
      </c>
      <c r="J42" s="25">
        <v>282</v>
      </c>
      <c r="K42" s="25">
        <v>280</v>
      </c>
      <c r="L42" s="25">
        <v>278</v>
      </c>
      <c r="M42" s="25">
        <v>276</v>
      </c>
      <c r="N42" s="25">
        <v>274</v>
      </c>
      <c r="O42" s="19"/>
      <c r="P42" s="25">
        <v>272</v>
      </c>
      <c r="Q42" s="25">
        <v>270</v>
      </c>
      <c r="R42" s="25">
        <v>268</v>
      </c>
      <c r="S42" s="25">
        <v>266</v>
      </c>
      <c r="T42" s="25">
        <v>264</v>
      </c>
      <c r="U42" s="25">
        <v>262</v>
      </c>
      <c r="V42" s="25">
        <v>260</v>
      </c>
      <c r="W42" s="25">
        <v>258</v>
      </c>
      <c r="X42" s="25">
        <v>256</v>
      </c>
      <c r="Y42" s="25">
        <v>254</v>
      </c>
      <c r="Z42" s="25">
        <v>255</v>
      </c>
      <c r="AA42" s="25">
        <v>257</v>
      </c>
      <c r="AB42" s="25">
        <v>259</v>
      </c>
      <c r="AC42" s="25">
        <v>261</v>
      </c>
      <c r="AD42" s="25">
        <v>263</v>
      </c>
      <c r="AE42" s="25">
        <v>265</v>
      </c>
      <c r="AF42" s="25">
        <v>267</v>
      </c>
      <c r="AG42" s="25">
        <v>269</v>
      </c>
      <c r="AH42" s="25">
        <v>271</v>
      </c>
      <c r="AI42" s="20"/>
      <c r="AJ42" s="25">
        <v>273</v>
      </c>
      <c r="AK42" s="25">
        <v>275</v>
      </c>
      <c r="AL42" s="25">
        <v>277</v>
      </c>
      <c r="AM42" s="25">
        <v>279</v>
      </c>
      <c r="AN42" s="25">
        <v>281</v>
      </c>
      <c r="AO42" s="25">
        <v>283</v>
      </c>
      <c r="AP42" s="25">
        <v>285</v>
      </c>
      <c r="AQ42" s="25">
        <v>287</v>
      </c>
      <c r="AR42" s="25">
        <v>289</v>
      </c>
      <c r="AS42" s="25">
        <v>291</v>
      </c>
      <c r="AT42" s="25">
        <v>293</v>
      </c>
      <c r="AW42" s="17"/>
    </row>
    <row r="43" ht="59.4" spans="1:53">
      <c r="A43" s="17"/>
      <c r="D43" s="26" t="e">
        <f>_xlfn.XLOOKUP(D42,人员名单!$E:$E,人员名单!$B:$B)</f>
        <v>#N/A</v>
      </c>
      <c r="E43" s="26" t="e">
        <f>_xlfn.XLOOKUP(E42,人员名单!$E:$E,人员名单!$B:$B)</f>
        <v>#N/A</v>
      </c>
      <c r="F43" s="26" t="e">
        <f>_xlfn.XLOOKUP(F42,人员名单!$E:$E,人员名单!$B:$B)</f>
        <v>#N/A</v>
      </c>
      <c r="G43" s="26" t="e">
        <f>_xlfn.XLOOKUP(G42,人员名单!$E:$E,人员名单!$B:$B)</f>
        <v>#N/A</v>
      </c>
      <c r="H43" s="26" t="e">
        <f>_xlfn.XLOOKUP(H42,人员名单!$E:$E,人员名单!$B:$B)</f>
        <v>#N/A</v>
      </c>
      <c r="I43" s="27" t="e">
        <f>_xlfn.XLOOKUP(I42,人员名单!$E:$E,人员名单!$B:$B)</f>
        <v>#N/A</v>
      </c>
      <c r="J43" s="27" t="e">
        <f>_xlfn.XLOOKUP(J42,人员名单!$E:$E,人员名单!$B:$B)</f>
        <v>#N/A</v>
      </c>
      <c r="K43" s="27" t="e">
        <f>_xlfn.XLOOKUP(K42,人员名单!$E:$E,人员名单!$B:$B)</f>
        <v>#N/A</v>
      </c>
      <c r="L43" s="27" t="e">
        <f>_xlfn.XLOOKUP(L42,人员名单!$E:$E,人员名单!$B:$B)</f>
        <v>#N/A</v>
      </c>
      <c r="M43" s="27" t="e">
        <f>_xlfn.XLOOKUP(M42,人员名单!$E:$E,人员名单!$B:$B)</f>
        <v>#N/A</v>
      </c>
      <c r="N43" s="27" t="e">
        <f>_xlfn.XLOOKUP(N42,人员名单!$E:$E,人员名单!$B:$B)</f>
        <v>#N/A</v>
      </c>
      <c r="O43" s="22"/>
      <c r="P43" s="28" t="e">
        <f>_xlfn.XLOOKUP(P42,人员名单!$E:$E,人员名单!$B:$B)</f>
        <v>#N/A</v>
      </c>
      <c r="Q43" s="28" t="e">
        <f>_xlfn.XLOOKUP(Q42,人员名单!$E:$E,人员名单!$B:$B)</f>
        <v>#N/A</v>
      </c>
      <c r="R43" s="28" t="e">
        <f>_xlfn.XLOOKUP(R42,人员名单!$E:$E,人员名单!$B:$B)</f>
        <v>#N/A</v>
      </c>
      <c r="S43" s="28" t="e">
        <f>_xlfn.XLOOKUP(S42,人员名单!$E:$E,人员名单!$B:$B)</f>
        <v>#N/A</v>
      </c>
      <c r="T43" s="28" t="e">
        <f>_xlfn.XLOOKUP(T42,人员名单!$E:$E,人员名单!$B:$B)</f>
        <v>#N/A</v>
      </c>
      <c r="U43" s="28" t="e">
        <f>_xlfn.XLOOKUP(U42,人员名单!$E:$E,人员名单!$B:$B)</f>
        <v>#N/A</v>
      </c>
      <c r="V43" s="32" t="e">
        <f>_xlfn.XLOOKUP(V42,人员名单!$E:$E,人员名单!$B:$B)</f>
        <v>#N/A</v>
      </c>
      <c r="W43" s="32" t="e">
        <f>_xlfn.XLOOKUP(W42,人员名单!$E:$E,人员名单!$B:$B)</f>
        <v>#N/A</v>
      </c>
      <c r="X43" s="32" t="e">
        <f>_xlfn.XLOOKUP(X42,人员名单!$E:$E,人员名单!$B:$B)</f>
        <v>#N/A</v>
      </c>
      <c r="Y43" s="32" t="e">
        <f>_xlfn.XLOOKUP(Y42,人员名单!$E:$E,人员名单!$B:$B)</f>
        <v>#N/A</v>
      </c>
      <c r="Z43" s="32" t="e">
        <f>_xlfn.XLOOKUP(Z42,人员名单!$E:$E,人员名单!$B:$B)</f>
        <v>#N/A</v>
      </c>
      <c r="AA43" s="32" t="e">
        <f>_xlfn.XLOOKUP(AA42,人员名单!$E:$E,人员名单!$B:$B)</f>
        <v>#N/A</v>
      </c>
      <c r="AB43" s="32" t="e">
        <f>_xlfn.XLOOKUP(AB42,人员名单!$E:$E,人员名单!$B:$B)</f>
        <v>#N/A</v>
      </c>
      <c r="AC43" s="32" t="e">
        <f>_xlfn.XLOOKUP(AC42,人员名单!$E:$E,人员名单!$B:$B)</f>
        <v>#N/A</v>
      </c>
      <c r="AD43" s="32" t="e">
        <f>_xlfn.XLOOKUP(AD42,人员名单!$E:$E,人员名单!$B:$B)</f>
        <v>#N/A</v>
      </c>
      <c r="AE43" s="32" t="e">
        <f>_xlfn.XLOOKUP(AE42,人员名单!$E:$E,人员名单!$B:$B)</f>
        <v>#N/A</v>
      </c>
      <c r="AF43" s="29" t="e">
        <f>_xlfn.XLOOKUP(AF42,人员名单!$E:$E,人员名单!$B:$B)</f>
        <v>#N/A</v>
      </c>
      <c r="AG43" s="29" t="e">
        <f>_xlfn.XLOOKUP(AG42,人员名单!$E:$E,人员名单!$B:$B)</f>
        <v>#N/A</v>
      </c>
      <c r="AH43" s="29" t="e">
        <f>_xlfn.XLOOKUP(AH42,人员名单!$E:$E,人员名单!$B:$B)</f>
        <v>#N/A</v>
      </c>
      <c r="AI43" s="22"/>
      <c r="AJ43" s="29" t="e">
        <f>_xlfn.XLOOKUP(AJ42,人员名单!$E:$E,人员名单!$B:$B)</f>
        <v>#N/A</v>
      </c>
      <c r="AK43" s="29" t="e">
        <f>_xlfn.XLOOKUP(AK42,人员名单!$E:$E,人员名单!$B:$B)</f>
        <v>#N/A</v>
      </c>
      <c r="AL43" s="30" t="e">
        <f>_xlfn.XLOOKUP(AL42,人员名单!$E:$E,人员名单!$B:$B)</f>
        <v>#N/A</v>
      </c>
      <c r="AM43" s="30" t="e">
        <f>_xlfn.XLOOKUP(AM42,人员名单!$E:$E,人员名单!$B:$B)</f>
        <v>#N/A</v>
      </c>
      <c r="AN43" s="30" t="e">
        <f>_xlfn.XLOOKUP(AN42,人员名单!$E:$E,人员名单!$B:$B)</f>
        <v>#N/A</v>
      </c>
      <c r="AO43" s="30" t="e">
        <f>_xlfn.XLOOKUP(AO42,人员名单!$E:$E,人员名单!$B:$B)</f>
        <v>#N/A</v>
      </c>
      <c r="AP43" s="30" t="e">
        <f>_xlfn.XLOOKUP(AP42,人员名单!$E:$E,人员名单!$B:$B)</f>
        <v>#N/A</v>
      </c>
      <c r="AQ43" s="31" t="e">
        <f>_xlfn.XLOOKUP(AQ42,人员名单!$E:$E,人员名单!$B:$B)</f>
        <v>#N/A</v>
      </c>
      <c r="AR43" s="31" t="e">
        <f>_xlfn.XLOOKUP(AR42,人员名单!$E:$E,人员名单!$B:$B)</f>
        <v>#N/A</v>
      </c>
      <c r="AS43" s="31" t="e">
        <f>_xlfn.XLOOKUP(AS42,人员名单!$E:$E,人员名单!$B:$B)</f>
        <v>#N/A</v>
      </c>
      <c r="AT43" s="31" t="e">
        <f>_xlfn.XLOOKUP(AT42,人员名单!$E:$E,人员名单!$B:$B)</f>
        <v>#N/A</v>
      </c>
      <c r="AW43" s="17"/>
    </row>
    <row r="44" spans="1:53">
      <c r="M44" s="16"/>
      <c r="N44" s="16"/>
      <c r="O44" s="19"/>
      <c r="AI44" s="20"/>
    </row>
    <row r="45" spans="1:53">
      <c r="A45" s="23" t="s">
        <v>521</v>
      </c>
      <c r="D45" s="18">
        <v>42</v>
      </c>
      <c r="E45" s="18">
        <v>41</v>
      </c>
      <c r="F45" s="18">
        <v>40</v>
      </c>
      <c r="G45" s="18">
        <v>39</v>
      </c>
      <c r="H45" s="18">
        <v>38</v>
      </c>
      <c r="I45" s="18">
        <v>37</v>
      </c>
      <c r="J45" s="18">
        <v>36</v>
      </c>
      <c r="K45" s="18">
        <v>35</v>
      </c>
      <c r="L45" s="18">
        <v>34</v>
      </c>
      <c r="M45" s="18">
        <v>33</v>
      </c>
      <c r="N45" s="18">
        <v>32</v>
      </c>
      <c r="O45" s="19"/>
      <c r="P45" s="18">
        <v>31</v>
      </c>
      <c r="Q45" s="18">
        <v>30</v>
      </c>
      <c r="R45" s="18">
        <v>29</v>
      </c>
      <c r="S45" s="18">
        <v>28</v>
      </c>
      <c r="T45" s="18">
        <v>27</v>
      </c>
      <c r="U45" s="18">
        <v>26</v>
      </c>
      <c r="V45" s="18">
        <v>25</v>
      </c>
      <c r="W45" s="18">
        <v>24</v>
      </c>
      <c r="X45" s="18">
        <v>23</v>
      </c>
      <c r="Y45" s="18">
        <v>22</v>
      </c>
      <c r="Z45" s="18">
        <v>21</v>
      </c>
      <c r="AA45" s="18">
        <v>20</v>
      </c>
      <c r="AB45" s="18">
        <v>19</v>
      </c>
      <c r="AC45" s="18">
        <v>18</v>
      </c>
      <c r="AD45" s="18">
        <v>17</v>
      </c>
      <c r="AE45" s="18">
        <v>16</v>
      </c>
      <c r="AF45" s="18">
        <v>15</v>
      </c>
      <c r="AG45" s="18">
        <v>14</v>
      </c>
      <c r="AH45" s="18">
        <v>13</v>
      </c>
      <c r="AI45" s="20"/>
      <c r="AJ45" s="18">
        <v>12</v>
      </c>
      <c r="AK45" s="18">
        <v>11</v>
      </c>
      <c r="AL45" s="18">
        <v>10</v>
      </c>
      <c r="AM45" s="18">
        <v>9</v>
      </c>
      <c r="AN45" s="18">
        <v>8</v>
      </c>
      <c r="AO45" s="18">
        <v>7</v>
      </c>
      <c r="AP45" s="18">
        <v>6</v>
      </c>
      <c r="AQ45" s="18">
        <v>5</v>
      </c>
      <c r="AR45" s="18">
        <v>4</v>
      </c>
      <c r="AS45" s="18">
        <v>3</v>
      </c>
      <c r="AT45" s="18">
        <v>2</v>
      </c>
      <c r="AW45" s="23" t="s">
        <v>521</v>
      </c>
      <c r="AY45" s="1">
        <v>41</v>
      </c>
    </row>
    <row r="46" spans="1:53">
      <c r="A46" s="23"/>
      <c r="D46" s="25">
        <v>335</v>
      </c>
      <c r="E46" s="25">
        <v>333</v>
      </c>
      <c r="F46" s="25">
        <v>331</v>
      </c>
      <c r="G46" s="25">
        <v>329</v>
      </c>
      <c r="H46" s="25">
        <v>327</v>
      </c>
      <c r="I46" s="25">
        <v>325</v>
      </c>
      <c r="J46" s="25">
        <v>323</v>
      </c>
      <c r="K46" s="25">
        <v>321</v>
      </c>
      <c r="L46" s="25">
        <v>319</v>
      </c>
      <c r="M46" s="25">
        <v>317</v>
      </c>
      <c r="N46" s="25">
        <v>315</v>
      </c>
      <c r="O46" s="19"/>
      <c r="P46" s="25">
        <v>313</v>
      </c>
      <c r="Q46" s="25">
        <v>311</v>
      </c>
      <c r="R46" s="25">
        <v>309</v>
      </c>
      <c r="S46" s="25">
        <v>307</v>
      </c>
      <c r="T46" s="25">
        <v>305</v>
      </c>
      <c r="U46" s="25">
        <v>303</v>
      </c>
      <c r="V46" s="25">
        <v>301</v>
      </c>
      <c r="W46" s="25">
        <v>299</v>
      </c>
      <c r="X46" s="25">
        <v>297</v>
      </c>
      <c r="Y46" s="25">
        <v>295</v>
      </c>
      <c r="Z46" s="25">
        <v>296</v>
      </c>
      <c r="AA46" s="25">
        <v>298</v>
      </c>
      <c r="AB46" s="25">
        <v>300</v>
      </c>
      <c r="AC46" s="25">
        <v>302</v>
      </c>
      <c r="AD46" s="25">
        <v>304</v>
      </c>
      <c r="AE46" s="25">
        <v>306</v>
      </c>
      <c r="AF46" s="25">
        <v>308</v>
      </c>
      <c r="AG46" s="25">
        <v>310</v>
      </c>
      <c r="AH46" s="25">
        <v>312</v>
      </c>
      <c r="AI46" s="20"/>
      <c r="AJ46" s="25">
        <v>314</v>
      </c>
      <c r="AK46" s="25">
        <v>316</v>
      </c>
      <c r="AL46" s="25">
        <v>318</v>
      </c>
      <c r="AM46" s="25">
        <v>320</v>
      </c>
      <c r="AN46" s="25">
        <v>322</v>
      </c>
      <c r="AO46" s="25">
        <v>324</v>
      </c>
      <c r="AP46" s="25">
        <v>326</v>
      </c>
      <c r="AQ46" s="25">
        <v>328</v>
      </c>
      <c r="AR46" s="25">
        <v>330</v>
      </c>
      <c r="AS46" s="25">
        <v>332</v>
      </c>
      <c r="AT46" s="25">
        <v>334</v>
      </c>
      <c r="AW46" s="23"/>
    </row>
    <row r="47" ht="59.4" spans="1:53">
      <c r="A47" s="23"/>
      <c r="D47" s="26" t="e">
        <f>_xlfn.XLOOKUP(D46,人员名单!$E:$E,人员名单!$B:$B)</f>
        <v>#N/A</v>
      </c>
      <c r="E47" s="26" t="e">
        <f>_xlfn.XLOOKUP(E46,人员名单!$E:$E,人员名单!$B:$B)</f>
        <v>#N/A</v>
      </c>
      <c r="F47" s="26" t="e">
        <f>_xlfn.XLOOKUP(F46,人员名单!$E:$E,人员名单!$B:$B)</f>
        <v>#N/A</v>
      </c>
      <c r="G47" s="26" t="e">
        <f>_xlfn.XLOOKUP(G46,人员名单!$E:$E,人员名单!$B:$B)</f>
        <v>#N/A</v>
      </c>
      <c r="H47" s="26" t="e">
        <f>_xlfn.XLOOKUP(H46,人员名单!$E:$E,人员名单!$B:$B)</f>
        <v>#N/A</v>
      </c>
      <c r="I47" s="27" t="e">
        <f>_xlfn.XLOOKUP(I46,人员名单!$E:$E,人员名单!$B:$B)</f>
        <v>#N/A</v>
      </c>
      <c r="J47" s="27" t="e">
        <f>_xlfn.XLOOKUP(J46,人员名单!$E:$E,人员名单!$B:$B)</f>
        <v>#N/A</v>
      </c>
      <c r="K47" s="27" t="e">
        <f>_xlfn.XLOOKUP(K46,人员名单!$E:$E,人员名单!$B:$B)</f>
        <v>#N/A</v>
      </c>
      <c r="L47" s="27" t="e">
        <f>_xlfn.XLOOKUP(L46,人员名单!$E:$E,人员名单!$B:$B)</f>
        <v>#N/A</v>
      </c>
      <c r="M47" s="27" t="e">
        <f>_xlfn.XLOOKUP(M46,人员名单!$E:$E,人员名单!$B:$B)</f>
        <v>#N/A</v>
      </c>
      <c r="N47" s="27" t="e">
        <f>_xlfn.XLOOKUP(N46,人员名单!$E:$E,人员名单!$B:$B)</f>
        <v>#N/A</v>
      </c>
      <c r="O47" s="22"/>
      <c r="P47" s="28" t="e">
        <f>_xlfn.XLOOKUP(P46,人员名单!$E:$E,人员名单!$B:$B)</f>
        <v>#N/A</v>
      </c>
      <c r="Q47" s="28" t="e">
        <f>_xlfn.XLOOKUP(Q46,人员名单!$E:$E,人员名单!$B:$B)</f>
        <v>#N/A</v>
      </c>
      <c r="R47" s="28" t="e">
        <f>_xlfn.XLOOKUP(R46,人员名单!$E:$E,人员名单!$B:$B)</f>
        <v>#N/A</v>
      </c>
      <c r="S47" s="28" t="e">
        <f>_xlfn.XLOOKUP(S46,人员名单!$E:$E,人员名单!$B:$B)</f>
        <v>#N/A</v>
      </c>
      <c r="T47" s="28" t="e">
        <f>_xlfn.XLOOKUP(T46,人员名单!$E:$E,人员名单!$B:$B)</f>
        <v>#N/A</v>
      </c>
      <c r="U47" s="28" t="e">
        <f>_xlfn.XLOOKUP(U46,人员名单!$E:$E,人员名单!$B:$B)</f>
        <v>#N/A</v>
      </c>
      <c r="V47" s="32" t="e">
        <f>_xlfn.XLOOKUP(V46,人员名单!$E:$E,人员名单!$B:$B)</f>
        <v>#N/A</v>
      </c>
      <c r="W47" s="32" t="e">
        <f>_xlfn.XLOOKUP(W46,人员名单!$E:$E,人员名单!$B:$B)</f>
        <v>#N/A</v>
      </c>
      <c r="X47" s="32" t="e">
        <f>_xlfn.XLOOKUP(X46,人员名单!$E:$E,人员名单!$B:$B)</f>
        <v>#N/A</v>
      </c>
      <c r="Y47" s="32" t="e">
        <f>_xlfn.XLOOKUP(Y46,人员名单!$E:$E,人员名单!$B:$B)</f>
        <v>#N/A</v>
      </c>
      <c r="Z47" s="32" t="e">
        <f>_xlfn.XLOOKUP(Z46,人员名单!$E:$E,人员名单!$B:$B)</f>
        <v>#N/A</v>
      </c>
      <c r="AA47" s="32" t="e">
        <f>_xlfn.XLOOKUP(AA46,人员名单!$E:$E,人员名单!$B:$B)</f>
        <v>#N/A</v>
      </c>
      <c r="AB47" s="32" t="e">
        <f>_xlfn.XLOOKUP(AB46,人员名单!$E:$E,人员名单!$B:$B)</f>
        <v>#N/A</v>
      </c>
      <c r="AC47" s="32" t="e">
        <f>_xlfn.XLOOKUP(AC46,人员名单!$E:$E,人员名单!$B:$B)</f>
        <v>#N/A</v>
      </c>
      <c r="AD47" s="32" t="e">
        <f>_xlfn.XLOOKUP(AD46,人员名单!$E:$E,人员名单!$B:$B)</f>
        <v>#N/A</v>
      </c>
      <c r="AE47" s="32" t="e">
        <f>_xlfn.XLOOKUP(AE46,人员名单!$E:$E,人员名单!$B:$B)</f>
        <v>#N/A</v>
      </c>
      <c r="AF47" s="29" t="e">
        <f>_xlfn.XLOOKUP(AF46,人员名单!$E:$E,人员名单!$B:$B)</f>
        <v>#N/A</v>
      </c>
      <c r="AG47" s="29" t="e">
        <f>_xlfn.XLOOKUP(AG46,人员名单!$E:$E,人员名单!$B:$B)</f>
        <v>#N/A</v>
      </c>
      <c r="AH47" s="29" t="e">
        <f>_xlfn.XLOOKUP(AH46,人员名单!$E:$E,人员名单!$B:$B)</f>
        <v>#N/A</v>
      </c>
      <c r="AI47" s="22"/>
      <c r="AJ47" s="29" t="e">
        <f>_xlfn.XLOOKUP(AJ46,人员名单!$E:$E,人员名单!$B:$B)</f>
        <v>#N/A</v>
      </c>
      <c r="AK47" s="29" t="e">
        <f>_xlfn.XLOOKUP(AK46,人员名单!$E:$E,人员名单!$B:$B)</f>
        <v>#N/A</v>
      </c>
      <c r="AL47" s="30" t="e">
        <f>_xlfn.XLOOKUP(AL46,人员名单!$E:$E,人员名单!$B:$B)</f>
        <v>#N/A</v>
      </c>
      <c r="AM47" s="30" t="e">
        <f>_xlfn.XLOOKUP(AM46,人员名单!$E:$E,人员名单!$B:$B)</f>
        <v>#N/A</v>
      </c>
      <c r="AN47" s="30" t="e">
        <f>_xlfn.XLOOKUP(AN46,人员名单!$E:$E,人员名单!$B:$B)</f>
        <v>#N/A</v>
      </c>
      <c r="AO47" s="30" t="e">
        <f>_xlfn.XLOOKUP(AO46,人员名单!$E:$E,人员名单!$B:$B)</f>
        <v>#N/A</v>
      </c>
      <c r="AP47" s="30" t="e">
        <f>_xlfn.XLOOKUP(AP46,人员名单!$E:$E,人员名单!$B:$B)</f>
        <v>#N/A</v>
      </c>
      <c r="AQ47" s="31" t="e">
        <f>_xlfn.XLOOKUP(AQ46,人员名单!$E:$E,人员名单!$B:$B)</f>
        <v>#N/A</v>
      </c>
      <c r="AR47" s="31" t="e">
        <f>_xlfn.XLOOKUP(AR46,人员名单!$E:$E,人员名单!$B:$B)</f>
        <v>#N/A</v>
      </c>
      <c r="AS47" s="31" t="e">
        <f>_xlfn.XLOOKUP(AS46,人员名单!$E:$E,人员名单!$B:$B)</f>
        <v>#N/A</v>
      </c>
      <c r="AT47" s="31" t="e">
        <f>_xlfn.XLOOKUP(AT46,人员名单!$E:$E,人员名单!$B:$B)</f>
        <v>#N/A</v>
      </c>
      <c r="AW47" s="23"/>
    </row>
    <row r="48" spans="1:53">
      <c r="M48" s="16"/>
      <c r="N48" s="16"/>
      <c r="O48" s="19"/>
      <c r="AI48" s="20"/>
    </row>
    <row r="49" spans="1:51">
      <c r="A49" s="17" t="s">
        <v>522</v>
      </c>
      <c r="E49" s="18">
        <v>38</v>
      </c>
      <c r="F49" s="18">
        <v>37</v>
      </c>
      <c r="G49" s="18">
        <v>36</v>
      </c>
      <c r="H49" s="18">
        <v>35</v>
      </c>
      <c r="I49" s="18">
        <v>34</v>
      </c>
      <c r="J49" s="18">
        <v>33</v>
      </c>
      <c r="K49" s="18">
        <v>32</v>
      </c>
      <c r="L49" s="18">
        <v>31</v>
      </c>
      <c r="M49" s="18">
        <v>30</v>
      </c>
      <c r="N49" s="18">
        <v>29</v>
      </c>
      <c r="O49" s="19"/>
      <c r="Q49" s="18">
        <v>28</v>
      </c>
      <c r="R49" s="18">
        <v>27</v>
      </c>
      <c r="S49" s="18">
        <v>26</v>
      </c>
      <c r="T49" s="18">
        <v>25</v>
      </c>
      <c r="U49" s="18">
        <v>24</v>
      </c>
      <c r="V49" s="18">
        <v>23</v>
      </c>
      <c r="W49" s="18">
        <v>22</v>
      </c>
      <c r="X49" s="18">
        <v>21</v>
      </c>
      <c r="Y49" s="18">
        <v>20</v>
      </c>
      <c r="Z49" s="18">
        <v>19</v>
      </c>
      <c r="AA49" s="18">
        <v>18</v>
      </c>
      <c r="AB49" s="18">
        <v>17</v>
      </c>
      <c r="AC49" s="18">
        <v>16</v>
      </c>
      <c r="AD49" s="18">
        <v>15</v>
      </c>
      <c r="AE49" s="18">
        <v>14</v>
      </c>
      <c r="AF49" s="18">
        <v>13</v>
      </c>
      <c r="AG49" s="18">
        <v>12</v>
      </c>
      <c r="AI49" s="20"/>
      <c r="AJ49" s="18">
        <v>11</v>
      </c>
      <c r="AK49" s="18">
        <v>10</v>
      </c>
      <c r="AL49" s="18">
        <v>9</v>
      </c>
      <c r="AM49" s="18">
        <v>8</v>
      </c>
      <c r="AN49" s="18">
        <v>7</v>
      </c>
      <c r="AO49" s="18">
        <v>6</v>
      </c>
      <c r="AP49" s="18">
        <v>5</v>
      </c>
      <c r="AQ49" s="18">
        <v>4</v>
      </c>
      <c r="AR49" s="18">
        <v>3</v>
      </c>
      <c r="AS49" s="18">
        <v>2</v>
      </c>
      <c r="AW49" s="17" t="s">
        <v>522</v>
      </c>
      <c r="AY49" s="1">
        <v>37</v>
      </c>
    </row>
    <row r="50" spans="1:51">
      <c r="A50" s="17"/>
      <c r="E50" s="25">
        <v>372</v>
      </c>
      <c r="F50" s="25">
        <v>370</v>
      </c>
      <c r="G50" s="25">
        <v>368</v>
      </c>
      <c r="H50" s="25">
        <v>366</v>
      </c>
      <c r="I50" s="25">
        <v>364</v>
      </c>
      <c r="J50" s="25">
        <v>362</v>
      </c>
      <c r="K50" s="25">
        <v>360</v>
      </c>
      <c r="L50" s="25">
        <v>358</v>
      </c>
      <c r="M50" s="25">
        <v>356</v>
      </c>
      <c r="N50" s="25">
        <v>354</v>
      </c>
      <c r="O50" s="19"/>
      <c r="Q50" s="25">
        <v>352</v>
      </c>
      <c r="R50" s="25">
        <v>350</v>
      </c>
      <c r="S50" s="25">
        <v>348</v>
      </c>
      <c r="T50" s="25">
        <v>346</v>
      </c>
      <c r="U50" s="25">
        <v>344</v>
      </c>
      <c r="V50" s="25">
        <v>342</v>
      </c>
      <c r="W50" s="25">
        <v>340</v>
      </c>
      <c r="X50" s="25">
        <v>338</v>
      </c>
      <c r="Y50" s="25">
        <v>336</v>
      </c>
      <c r="Z50" s="25">
        <v>337</v>
      </c>
      <c r="AA50" s="25">
        <v>339</v>
      </c>
      <c r="AB50" s="25">
        <v>341</v>
      </c>
      <c r="AC50" s="25">
        <v>343</v>
      </c>
      <c r="AD50" s="25">
        <v>345</v>
      </c>
      <c r="AE50" s="25">
        <v>347</v>
      </c>
      <c r="AF50" s="25">
        <v>349</v>
      </c>
      <c r="AG50" s="25">
        <v>351</v>
      </c>
      <c r="AI50" s="20"/>
      <c r="AJ50" s="25">
        <v>353</v>
      </c>
      <c r="AK50" s="25">
        <v>355</v>
      </c>
      <c r="AL50" s="25">
        <v>357</v>
      </c>
      <c r="AM50" s="25">
        <v>359</v>
      </c>
      <c r="AN50" s="25">
        <v>361</v>
      </c>
      <c r="AO50" s="25">
        <v>363</v>
      </c>
      <c r="AP50" s="25">
        <v>365</v>
      </c>
      <c r="AQ50" s="25">
        <v>367</v>
      </c>
      <c r="AR50" s="25">
        <v>369</v>
      </c>
      <c r="AS50" s="25">
        <v>371</v>
      </c>
      <c r="AW50" s="17"/>
    </row>
    <row r="51" ht="59.4" spans="1:51">
      <c r="A51" s="17"/>
      <c r="E51" s="26" t="e">
        <f>_xlfn.XLOOKUP(E50,人员名单!$E:$E,人员名单!$B:$B)</f>
        <v>#N/A</v>
      </c>
      <c r="F51" s="26" t="e">
        <f>_xlfn.XLOOKUP(F50,人员名单!$E:$E,人员名单!$B:$B)</f>
        <v>#N/A</v>
      </c>
      <c r="G51" s="26" t="e">
        <f>_xlfn.XLOOKUP(G50,人员名单!$E:$E,人员名单!$B:$B)</f>
        <v>#N/A</v>
      </c>
      <c r="H51" s="26" t="e">
        <f>_xlfn.XLOOKUP(H50,人员名单!$E:$E,人员名单!$B:$B)</f>
        <v>#N/A</v>
      </c>
      <c r="I51" s="27" t="e">
        <f>_xlfn.XLOOKUP(I50,人员名单!$E:$E,人员名单!$B:$B)</f>
        <v>#N/A</v>
      </c>
      <c r="J51" s="27" t="e">
        <f>_xlfn.XLOOKUP(J50,人员名单!$E:$E,人员名单!$B:$B)</f>
        <v>#N/A</v>
      </c>
      <c r="K51" s="27" t="e">
        <f>_xlfn.XLOOKUP(K50,人员名单!$E:$E,人员名单!$B:$B)</f>
        <v>#N/A</v>
      </c>
      <c r="L51" s="27" t="e">
        <f>_xlfn.XLOOKUP(L50,人员名单!$E:$E,人员名单!$B:$B)</f>
        <v>#N/A</v>
      </c>
      <c r="M51" s="27" t="e">
        <f>_xlfn.XLOOKUP(M50,人员名单!$E:$E,人员名单!$B:$B)</f>
        <v>#N/A</v>
      </c>
      <c r="N51" s="27" t="e">
        <f>_xlfn.XLOOKUP(N50,人员名单!$E:$E,人员名单!$B:$B)</f>
        <v>#N/A</v>
      </c>
      <c r="O51" s="22"/>
      <c r="P51" s="22"/>
      <c r="Q51" s="28" t="e">
        <f>_xlfn.XLOOKUP(Q50,人员名单!$E:$E,人员名单!$B:$B)</f>
        <v>#N/A</v>
      </c>
      <c r="R51" s="28" t="e">
        <f>_xlfn.XLOOKUP(R50,人员名单!$E:$E,人员名单!$B:$B)</f>
        <v>#N/A</v>
      </c>
      <c r="S51" s="28" t="e">
        <f>_xlfn.XLOOKUP(S50,人员名单!$E:$E,人员名单!$B:$B)</f>
        <v>#N/A</v>
      </c>
      <c r="T51" s="28" t="e">
        <f>_xlfn.XLOOKUP(T50,人员名单!$E:$E,人员名单!$B:$B)</f>
        <v>#N/A</v>
      </c>
      <c r="U51" s="28" t="e">
        <f>_xlfn.XLOOKUP(U50,人员名单!$E:$E,人员名单!$B:$B)</f>
        <v>#N/A</v>
      </c>
      <c r="V51" s="32" t="e">
        <f>_xlfn.XLOOKUP(V50,人员名单!$E:$E,人员名单!$B:$B)</f>
        <v>#N/A</v>
      </c>
      <c r="W51" s="32" t="e">
        <f>_xlfn.XLOOKUP(W50,人员名单!$E:$E,人员名单!$B:$B)</f>
        <v>#N/A</v>
      </c>
      <c r="X51" s="32" t="e">
        <f>_xlfn.XLOOKUP(X50,人员名单!$E:$E,人员名单!$B:$B)</f>
        <v>#N/A</v>
      </c>
      <c r="Y51" s="32" t="e">
        <f>_xlfn.XLOOKUP(Y50,人员名单!$E:$E,人员名单!$B:$B)</f>
        <v>#N/A</v>
      </c>
      <c r="Z51" s="32" t="e">
        <f>_xlfn.XLOOKUP(Z50,人员名单!$E:$E,人员名单!$B:$B)</f>
        <v>#N/A</v>
      </c>
      <c r="AA51" s="32" t="e">
        <f>_xlfn.XLOOKUP(AA50,人员名单!$E:$E,人员名单!$B:$B)</f>
        <v>#N/A</v>
      </c>
      <c r="AB51" s="32" t="e">
        <f>_xlfn.XLOOKUP(AB50,人员名单!$E:$E,人员名单!$B:$B)</f>
        <v>#N/A</v>
      </c>
      <c r="AC51" s="32" t="e">
        <f>_xlfn.XLOOKUP(AC50,人员名单!$E:$E,人员名单!$B:$B)</f>
        <v>#N/A</v>
      </c>
      <c r="AD51" s="32" t="e">
        <f>_xlfn.XLOOKUP(AD50,人员名单!$E:$E,人员名单!$B:$B)</f>
        <v>#N/A</v>
      </c>
      <c r="AE51" s="32" t="e">
        <f>_xlfn.XLOOKUP(AE50,人员名单!$E:$E,人员名单!$B:$B)</f>
        <v>#N/A</v>
      </c>
      <c r="AF51" s="29" t="e">
        <f>_xlfn.XLOOKUP(AF50,人员名单!$E:$E,人员名单!$B:$B)</f>
        <v>#N/A</v>
      </c>
      <c r="AG51" s="29" t="e">
        <f>_xlfn.XLOOKUP(AG50,人员名单!$E:$E,人员名单!$B:$B)</f>
        <v>#N/A</v>
      </c>
      <c r="AH51" s="22"/>
      <c r="AI51" s="22"/>
      <c r="AJ51" s="29" t="e">
        <f>_xlfn.XLOOKUP(AJ50,人员名单!$E:$E,人员名单!$B:$B)</f>
        <v>#N/A</v>
      </c>
      <c r="AK51" s="29" t="e">
        <f>_xlfn.XLOOKUP(AK50,人员名单!$E:$E,人员名单!$B:$B)</f>
        <v>#N/A</v>
      </c>
      <c r="AL51" s="30" t="e">
        <f>_xlfn.XLOOKUP(AL50,人员名单!$E:$E,人员名单!$B:$B)</f>
        <v>#N/A</v>
      </c>
      <c r="AM51" s="30" t="e">
        <f>_xlfn.XLOOKUP(AM50,人员名单!$E:$E,人员名单!$B:$B)</f>
        <v>#N/A</v>
      </c>
      <c r="AN51" s="30" t="e">
        <f>_xlfn.XLOOKUP(AN50,人员名单!$E:$E,人员名单!$B:$B)</f>
        <v>#N/A</v>
      </c>
      <c r="AO51" s="30" t="e">
        <f>_xlfn.XLOOKUP(AO50,人员名单!$E:$E,人员名单!$B:$B)</f>
        <v>#N/A</v>
      </c>
      <c r="AP51" s="30" t="e">
        <f>_xlfn.XLOOKUP(AP50,人员名单!$E:$E,人员名单!$B:$B)</f>
        <v>#N/A</v>
      </c>
      <c r="AQ51" s="31" t="s">
        <v>523</v>
      </c>
      <c r="AR51" s="31" t="e">
        <f>_xlfn.XLOOKUP(AR50,人员名单!$E:$E,人员名单!$B:$B)</f>
        <v>#N/A</v>
      </c>
      <c r="AS51" s="31" t="s">
        <v>523</v>
      </c>
      <c r="AW51" s="17"/>
    </row>
    <row r="52" spans="1:51">
      <c r="M52" s="16"/>
      <c r="N52" s="16"/>
      <c r="O52" s="19"/>
      <c r="AI52" s="20"/>
    </row>
    <row r="53" spans="1:51">
      <c r="A53" s="23" t="s">
        <v>524</v>
      </c>
      <c r="F53" s="18">
        <v>36</v>
      </c>
      <c r="G53" s="18">
        <v>35</v>
      </c>
      <c r="H53" s="18">
        <v>34</v>
      </c>
      <c r="I53" s="18">
        <v>33</v>
      </c>
      <c r="J53" s="18">
        <v>32</v>
      </c>
      <c r="K53" s="18">
        <v>31</v>
      </c>
      <c r="L53" s="33">
        <v>30</v>
      </c>
      <c r="M53" s="18">
        <v>29</v>
      </c>
      <c r="N53" s="18">
        <v>28</v>
      </c>
      <c r="O53" s="19"/>
      <c r="Q53" s="18">
        <v>27</v>
      </c>
      <c r="R53" s="18">
        <v>26</v>
      </c>
      <c r="S53" s="18">
        <v>25</v>
      </c>
      <c r="T53" s="18">
        <v>24</v>
      </c>
      <c r="U53" s="18">
        <v>23</v>
      </c>
      <c r="V53" s="18">
        <v>22</v>
      </c>
      <c r="W53" s="18">
        <v>21</v>
      </c>
      <c r="X53" s="18">
        <v>20</v>
      </c>
      <c r="Y53" s="18">
        <v>19</v>
      </c>
      <c r="Z53" s="18">
        <v>18</v>
      </c>
      <c r="AA53" s="18">
        <v>17</v>
      </c>
      <c r="AB53" s="18">
        <v>16</v>
      </c>
      <c r="AC53" s="18">
        <v>15</v>
      </c>
      <c r="AD53" s="18">
        <v>14</v>
      </c>
      <c r="AE53" s="18">
        <v>13</v>
      </c>
      <c r="AF53" s="18">
        <v>12</v>
      </c>
      <c r="AG53" s="18">
        <v>11</v>
      </c>
      <c r="AI53" s="20"/>
      <c r="AJ53" s="18">
        <v>10</v>
      </c>
      <c r="AK53" s="18">
        <v>9</v>
      </c>
      <c r="AL53" s="18">
        <v>8</v>
      </c>
      <c r="AM53" s="18">
        <v>7</v>
      </c>
      <c r="AN53" s="18">
        <v>6</v>
      </c>
      <c r="AO53" s="18">
        <v>5</v>
      </c>
      <c r="AP53" s="18">
        <v>4</v>
      </c>
      <c r="AQ53" s="18">
        <v>3</v>
      </c>
      <c r="AR53" s="18">
        <v>2</v>
      </c>
      <c r="AW53" s="23" t="s">
        <v>524</v>
      </c>
      <c r="AY53" s="1">
        <v>35</v>
      </c>
    </row>
    <row r="54" spans="1:51">
      <c r="A54" s="23"/>
      <c r="F54" s="25">
        <v>407</v>
      </c>
      <c r="G54" s="25">
        <v>405</v>
      </c>
      <c r="H54" s="25">
        <v>403</v>
      </c>
      <c r="I54" s="25">
        <v>401</v>
      </c>
      <c r="J54" s="25">
        <v>399</v>
      </c>
      <c r="K54" s="25">
        <v>397</v>
      </c>
      <c r="L54" s="25">
        <v>395</v>
      </c>
      <c r="M54" s="34">
        <v>393</v>
      </c>
      <c r="N54" s="25">
        <v>391</v>
      </c>
      <c r="O54" s="19"/>
      <c r="Q54" s="25">
        <v>389</v>
      </c>
      <c r="R54" s="25">
        <v>387</v>
      </c>
      <c r="S54" s="25">
        <v>385</v>
      </c>
      <c r="T54" s="25">
        <v>383</v>
      </c>
      <c r="U54" s="25">
        <v>381</v>
      </c>
      <c r="V54" s="25">
        <v>379</v>
      </c>
      <c r="W54" s="25">
        <v>377</v>
      </c>
      <c r="X54" s="25">
        <v>375</v>
      </c>
      <c r="Y54" s="25">
        <v>373</v>
      </c>
      <c r="Z54" s="25">
        <v>374</v>
      </c>
      <c r="AA54" s="25">
        <v>376</v>
      </c>
      <c r="AB54" s="25">
        <v>378</v>
      </c>
      <c r="AC54" s="25">
        <v>380</v>
      </c>
      <c r="AD54" s="25">
        <v>382</v>
      </c>
      <c r="AE54" s="25">
        <v>384</v>
      </c>
      <c r="AF54" s="25">
        <v>386</v>
      </c>
      <c r="AG54" s="25">
        <v>388</v>
      </c>
      <c r="AI54" s="20"/>
      <c r="AJ54" s="25">
        <v>390</v>
      </c>
      <c r="AK54" s="25">
        <v>392</v>
      </c>
      <c r="AL54" s="25">
        <v>394</v>
      </c>
      <c r="AM54" s="25">
        <v>396</v>
      </c>
      <c r="AN54" s="25">
        <v>398</v>
      </c>
      <c r="AO54" s="25">
        <v>400</v>
      </c>
      <c r="AP54" s="25">
        <v>402</v>
      </c>
      <c r="AQ54" s="25">
        <v>404</v>
      </c>
      <c r="AR54" s="25">
        <v>406</v>
      </c>
      <c r="AW54" s="23"/>
    </row>
    <row r="55" spans="1:51">
      <c r="A55" s="23"/>
      <c r="F55" s="18" t="s">
        <v>525</v>
      </c>
      <c r="G55" s="18"/>
      <c r="H55" s="18"/>
      <c r="I55" s="18"/>
      <c r="J55" s="18"/>
      <c r="K55" s="18"/>
      <c r="L55" s="33"/>
      <c r="M55" s="18"/>
      <c r="N55" s="18" t="s">
        <v>526</v>
      </c>
      <c r="O55" s="19"/>
      <c r="Q55" s="18" t="s">
        <v>525</v>
      </c>
      <c r="R55" s="18"/>
      <c r="S55" s="18"/>
      <c r="T55" s="18"/>
      <c r="U55" s="18"/>
      <c r="V55" s="18"/>
      <c r="W55" s="18"/>
      <c r="X55" s="18"/>
      <c r="Y55" s="18"/>
      <c r="Z55" s="18"/>
      <c r="AA55" s="18"/>
      <c r="AB55" s="18"/>
      <c r="AC55" s="18"/>
      <c r="AD55" s="18"/>
      <c r="AE55" s="18"/>
      <c r="AF55" s="18"/>
      <c r="AG55" s="18" t="s">
        <v>526</v>
      </c>
      <c r="AI55" s="20"/>
      <c r="AJ55" s="18" t="s">
        <v>525</v>
      </c>
      <c r="AK55" s="18"/>
      <c r="AL55" s="18"/>
      <c r="AM55" s="18"/>
      <c r="AN55" s="18"/>
      <c r="AO55" s="18"/>
      <c r="AP55" s="18"/>
      <c r="AQ55" s="18"/>
      <c r="AR55" s="18" t="s">
        <v>526</v>
      </c>
      <c r="AW55" s="23"/>
    </row>
    <row r="56" spans="1:51">
      <c r="O56" s="19"/>
      <c r="AI56" s="20"/>
      <c r="AJ56" s="35"/>
      <c r="AK56" s="18"/>
      <c r="AL56" s="18"/>
      <c r="AM56" s="18"/>
      <c r="AN56" s="18"/>
      <c r="AO56" s="18"/>
      <c r="AP56" s="18"/>
    </row>
    <row r="57" spans="1:51">
      <c r="A57" s="17" t="s">
        <v>527</v>
      </c>
      <c r="H57" s="18">
        <v>31</v>
      </c>
      <c r="I57" s="18">
        <v>30</v>
      </c>
      <c r="J57" s="18">
        <v>29</v>
      </c>
      <c r="K57" s="18">
        <v>28</v>
      </c>
      <c r="L57" s="18">
        <v>27</v>
      </c>
      <c r="M57" s="18">
        <v>26</v>
      </c>
      <c r="N57" s="18">
        <v>25</v>
      </c>
      <c r="O57" s="19"/>
      <c r="R57" s="18">
        <v>24</v>
      </c>
      <c r="S57" s="18">
        <v>23</v>
      </c>
      <c r="T57" s="18">
        <v>22</v>
      </c>
      <c r="U57" s="18">
        <v>21</v>
      </c>
      <c r="V57" s="18">
        <v>20</v>
      </c>
      <c r="W57" s="18">
        <v>19</v>
      </c>
      <c r="X57" s="18">
        <v>18</v>
      </c>
      <c r="Y57" s="18">
        <v>17</v>
      </c>
      <c r="Z57" s="18">
        <v>16</v>
      </c>
      <c r="AA57" s="18">
        <v>15</v>
      </c>
      <c r="AB57" s="18">
        <v>14</v>
      </c>
      <c r="AC57" s="18">
        <v>13</v>
      </c>
      <c r="AD57" s="18">
        <v>12</v>
      </c>
      <c r="AE57" s="18">
        <v>11</v>
      </c>
      <c r="AF57" s="18">
        <v>10</v>
      </c>
      <c r="AI57" s="20"/>
      <c r="AJ57" s="18">
        <v>9</v>
      </c>
      <c r="AK57" s="18">
        <v>8</v>
      </c>
      <c r="AL57" s="18">
        <v>7</v>
      </c>
      <c r="AM57" s="18">
        <v>6</v>
      </c>
      <c r="AN57" s="18">
        <v>5</v>
      </c>
      <c r="AO57" s="18">
        <v>4</v>
      </c>
      <c r="AP57" s="18">
        <v>3</v>
      </c>
      <c r="AW57" s="17" t="s">
        <v>527</v>
      </c>
      <c r="AY57" s="1">
        <v>29</v>
      </c>
    </row>
    <row r="58" spans="1:51">
      <c r="A58" s="17"/>
      <c r="H58" s="25">
        <v>436</v>
      </c>
      <c r="I58" s="25">
        <v>434</v>
      </c>
      <c r="J58" s="25">
        <v>432</v>
      </c>
      <c r="K58" s="25">
        <v>430</v>
      </c>
      <c r="L58" s="25">
        <v>428</v>
      </c>
      <c r="M58" s="25">
        <v>426</v>
      </c>
      <c r="N58" s="25">
        <v>424</v>
      </c>
      <c r="O58" s="19"/>
      <c r="R58" s="25">
        <v>422</v>
      </c>
      <c r="S58" s="25">
        <v>420</v>
      </c>
      <c r="T58" s="25">
        <v>418</v>
      </c>
      <c r="U58" s="25">
        <v>416</v>
      </c>
      <c r="V58" s="25">
        <v>414</v>
      </c>
      <c r="W58" s="25">
        <v>412</v>
      </c>
      <c r="X58" s="25">
        <v>410</v>
      </c>
      <c r="Y58" s="25">
        <v>408</v>
      </c>
      <c r="Z58" s="25">
        <v>409</v>
      </c>
      <c r="AA58" s="25">
        <v>411</v>
      </c>
      <c r="AB58" s="25">
        <v>413</v>
      </c>
      <c r="AC58" s="25">
        <v>415</v>
      </c>
      <c r="AD58" s="25">
        <v>417</v>
      </c>
      <c r="AE58" s="25">
        <v>419</v>
      </c>
      <c r="AF58" s="25">
        <v>421</v>
      </c>
      <c r="AI58" s="20"/>
      <c r="AJ58" s="25">
        <v>423</v>
      </c>
      <c r="AK58" s="25">
        <v>425</v>
      </c>
      <c r="AL58" s="25">
        <v>427</v>
      </c>
      <c r="AM58" s="25">
        <v>429</v>
      </c>
      <c r="AN58" s="25">
        <v>431</v>
      </c>
      <c r="AO58" s="25">
        <v>433</v>
      </c>
      <c r="AP58" s="25">
        <v>435</v>
      </c>
      <c r="AW58" s="17"/>
    </row>
    <row r="59" spans="1:51">
      <c r="A59" s="17"/>
      <c r="H59" s="18" t="s">
        <v>528</v>
      </c>
      <c r="I59" s="18"/>
      <c r="J59" s="18" t="s">
        <v>529</v>
      </c>
      <c r="K59" s="18"/>
      <c r="L59" s="18" t="s">
        <v>530</v>
      </c>
      <c r="M59" s="18"/>
      <c r="N59" s="18" t="s">
        <v>531</v>
      </c>
      <c r="O59" s="19"/>
      <c r="R59" s="18" t="s">
        <v>528</v>
      </c>
      <c r="S59" s="18"/>
      <c r="T59" s="18" t="s">
        <v>529</v>
      </c>
      <c r="U59" s="18"/>
      <c r="V59" s="18" t="s">
        <v>530</v>
      </c>
      <c r="W59" s="18"/>
      <c r="X59" s="18" t="s">
        <v>531</v>
      </c>
      <c r="Y59" s="18"/>
      <c r="Z59" s="18" t="s">
        <v>528</v>
      </c>
      <c r="AA59" s="18"/>
      <c r="AB59" s="18" t="s">
        <v>529</v>
      </c>
      <c r="AC59" s="18"/>
      <c r="AD59" s="18" t="s">
        <v>530</v>
      </c>
      <c r="AE59" s="18"/>
      <c r="AF59" s="18" t="s">
        <v>531</v>
      </c>
      <c r="AI59" s="20"/>
      <c r="AJ59" s="18" t="s">
        <v>528</v>
      </c>
      <c r="AK59" s="18"/>
      <c r="AL59" s="18" t="s">
        <v>529</v>
      </c>
      <c r="AM59" s="18"/>
      <c r="AN59" s="18" t="s">
        <v>530</v>
      </c>
      <c r="AO59" s="18"/>
      <c r="AP59" s="18" t="s">
        <v>531</v>
      </c>
      <c r="AW59" s="17"/>
    </row>
    <row r="60" spans="1:51">
      <c r="O60" s="19"/>
      <c r="AI60" s="20"/>
    </row>
    <row r="61" spans="1:51">
      <c r="A61" s="23" t="s">
        <v>532</v>
      </c>
      <c r="J61" s="18">
        <v>27</v>
      </c>
      <c r="K61" s="18">
        <v>26</v>
      </c>
      <c r="L61" s="18">
        <v>25</v>
      </c>
      <c r="M61" s="18">
        <v>24</v>
      </c>
      <c r="N61" s="18">
        <v>23</v>
      </c>
      <c r="O61" s="19"/>
      <c r="R61" s="18">
        <v>22</v>
      </c>
      <c r="S61" s="18">
        <v>21</v>
      </c>
      <c r="T61" s="18">
        <v>20</v>
      </c>
      <c r="U61" s="18">
        <v>19</v>
      </c>
      <c r="V61" s="18">
        <v>18</v>
      </c>
      <c r="W61" s="18">
        <v>17</v>
      </c>
      <c r="X61" s="18">
        <v>16</v>
      </c>
      <c r="Y61" s="18">
        <v>15</v>
      </c>
      <c r="Z61" s="18">
        <v>14</v>
      </c>
      <c r="AA61" s="18">
        <v>13</v>
      </c>
      <c r="AB61" s="18">
        <v>12</v>
      </c>
      <c r="AC61" s="18">
        <v>11</v>
      </c>
      <c r="AD61" s="18">
        <v>10</v>
      </c>
      <c r="AE61" s="18">
        <v>9</v>
      </c>
      <c r="AF61" s="18">
        <v>8</v>
      </c>
      <c r="AI61" s="20"/>
      <c r="AJ61" s="18">
        <v>7</v>
      </c>
      <c r="AK61" s="18">
        <v>6</v>
      </c>
      <c r="AL61" s="18">
        <v>5</v>
      </c>
      <c r="AM61" s="18">
        <v>4</v>
      </c>
      <c r="AN61" s="18">
        <v>3</v>
      </c>
      <c r="AW61" s="23" t="s">
        <v>532</v>
      </c>
      <c r="AY61" s="1">
        <v>25</v>
      </c>
    </row>
    <row r="62" spans="1:51">
      <c r="J62" s="25">
        <v>461</v>
      </c>
      <c r="K62" s="25">
        <v>459</v>
      </c>
      <c r="L62" s="25">
        <v>457</v>
      </c>
      <c r="M62" s="25">
        <v>455</v>
      </c>
      <c r="N62" s="25">
        <v>453</v>
      </c>
      <c r="O62" s="19"/>
      <c r="R62" s="25">
        <v>451</v>
      </c>
      <c r="S62" s="25">
        <v>449</v>
      </c>
      <c r="T62" s="25">
        <v>447</v>
      </c>
      <c r="U62" s="25">
        <v>445</v>
      </c>
      <c r="V62" s="25">
        <v>443</v>
      </c>
      <c r="W62" s="25">
        <v>441</v>
      </c>
      <c r="X62" s="25">
        <v>439</v>
      </c>
      <c r="Y62" s="25">
        <v>437</v>
      </c>
      <c r="Z62" s="25">
        <v>438</v>
      </c>
      <c r="AA62" s="25">
        <v>440</v>
      </c>
      <c r="AB62" s="25">
        <v>442</v>
      </c>
      <c r="AC62" s="25">
        <v>444</v>
      </c>
      <c r="AD62" s="25">
        <v>446</v>
      </c>
      <c r="AE62" s="25">
        <v>448</v>
      </c>
      <c r="AF62" s="25">
        <v>450</v>
      </c>
      <c r="AI62" s="20"/>
      <c r="AJ62" s="25">
        <v>452</v>
      </c>
      <c r="AK62" s="25">
        <v>454</v>
      </c>
      <c r="AL62" s="25">
        <v>456</v>
      </c>
      <c r="AM62" s="25">
        <v>458</v>
      </c>
      <c r="AN62" s="25">
        <v>460</v>
      </c>
    </row>
    <row r="63" spans="1:51">
      <c r="J63" s="18" t="s">
        <v>533</v>
      </c>
      <c r="K63" s="18"/>
      <c r="L63" s="18"/>
      <c r="M63" s="18"/>
      <c r="N63" s="18" t="s">
        <v>533</v>
      </c>
      <c r="O63" s="19"/>
      <c r="R63" s="36" t="s">
        <v>534</v>
      </c>
      <c r="S63" s="36"/>
      <c r="T63" s="36" t="s">
        <v>535</v>
      </c>
      <c r="U63" s="36"/>
      <c r="V63" s="36" t="s">
        <v>534</v>
      </c>
      <c r="W63" s="36"/>
      <c r="X63" s="36" t="s">
        <v>535</v>
      </c>
      <c r="Y63" s="36"/>
      <c r="Z63" s="36" t="s">
        <v>534</v>
      </c>
      <c r="AA63" s="36"/>
      <c r="AB63" s="36" t="s">
        <v>535</v>
      </c>
      <c r="AC63" s="36"/>
      <c r="AD63" s="36" t="s">
        <v>534</v>
      </c>
      <c r="AE63" s="36"/>
      <c r="AF63" s="36" t="s">
        <v>535</v>
      </c>
      <c r="AI63" s="20"/>
      <c r="AJ63" s="18" t="s">
        <v>533</v>
      </c>
      <c r="AK63" s="18"/>
      <c r="AL63" s="18"/>
      <c r="AM63" s="18"/>
      <c r="AN63" s="18" t="s">
        <v>533</v>
      </c>
    </row>
    <row r="64" spans="1:51">
      <c r="O64" s="4"/>
      <c r="AY64" s="37">
        <f>SUM(AY13:AY61)</f>
        <v>461</v>
      </c>
    </row>
    <row r="65" spans="5:44">
      <c r="O65" s="10" t="s">
        <v>536</v>
      </c>
      <c r="P65" s="10"/>
      <c r="AH65" s="10" t="s">
        <v>536</v>
      </c>
      <c r="AI65" s="10"/>
    </row>
    <row r="66" spans="5:44">
      <c r="O66" s="10" t="s">
        <v>537</v>
      </c>
      <c r="P66" s="10"/>
      <c r="AH66" s="10" t="s">
        <v>537</v>
      </c>
      <c r="AI66" s="10"/>
    </row>
    <row r="68" spans="5:44">
      <c r="E68" s="38"/>
      <c r="F68" s="38" t="s">
        <v>538</v>
      </c>
      <c r="G68" s="38"/>
      <c r="J68" s="39"/>
      <c r="K68" s="39" t="s">
        <v>539</v>
      </c>
      <c r="L68" s="39"/>
      <c r="P68" s="40"/>
      <c r="Q68" s="40" t="s">
        <v>540</v>
      </c>
      <c r="R68" s="40"/>
      <c r="W68" s="41"/>
      <c r="X68" s="41" t="s">
        <v>541</v>
      </c>
      <c r="Y68" s="41"/>
      <c r="AE68" s="42"/>
      <c r="AF68" s="42" t="s">
        <v>542</v>
      </c>
      <c r="AG68" s="42"/>
      <c r="AK68" s="43"/>
      <c r="AL68" s="43" t="s">
        <v>540</v>
      </c>
      <c r="AM68" s="43"/>
      <c r="AP68" s="44"/>
      <c r="AQ68" s="44" t="s">
        <v>543</v>
      </c>
      <c r="AR68" s="44"/>
    </row>
    <row r="69" spans="5:44">
      <c r="F69" s="1" t="s">
        <v>544</v>
      </c>
      <c r="K69" s="1" t="s">
        <v>545</v>
      </c>
      <c r="Q69" s="1" t="s">
        <v>546</v>
      </c>
      <c r="X69" s="1" t="s">
        <v>547</v>
      </c>
      <c r="AF69" s="1" t="s">
        <v>548</v>
      </c>
      <c r="AL69" s="1" t="s">
        <v>549</v>
      </c>
      <c r="AQ69" s="1" t="s">
        <v>523</v>
      </c>
    </row>
  </sheetData>
  <mergeCells count="17">
    <mergeCell ref="Q1:AF1"/>
    <mergeCell ref="A2:F2"/>
    <mergeCell ref="N2:AE2"/>
    <mergeCell ref="AF2:AI2"/>
    <mergeCell ref="B3:F3"/>
    <mergeCell ref="P3:AG3"/>
    <mergeCell ref="Q4:AF4"/>
    <mergeCell ref="A5:F5"/>
    <mergeCell ref="R5:AE5"/>
    <mergeCell ref="A6:F6"/>
    <mergeCell ref="S6:AD6"/>
    <mergeCell ref="A7:F7"/>
    <mergeCell ref="A8:F8"/>
    <mergeCell ref="O65:P65"/>
    <mergeCell ref="AH65:AI65"/>
    <mergeCell ref="O66:P66"/>
    <mergeCell ref="AH66:AI66"/>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人员名单</vt:lpstr>
      <vt:lpstr>座位图 </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unremitting3</cp:lastModifiedBy>
  <dcterms:created xsi:type="dcterms:W3CDTF">2023-05-12T11:15:00Z</dcterms:created>
  <dcterms:modified xsi:type="dcterms:W3CDTF">2026-09-08T07:50:34Z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1E0BA4CC5D854F538A97E1FB3888A725_13</vt:lpwstr>
  </property>
  <property fmtid="{D5CDD505-2E9C-101B-9397-08002B2CF9AE}" pid="4" name="CalculationRule">
    <vt:i4>0</vt:i4>
  </property>
</Properties>
</file>